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fantasyrealm\文案\绘境\"/>
    </mc:Choice>
  </mc:AlternateContent>
  <xr:revisionPtr revIDLastSave="0" documentId="13_ncr:1_{B402424F-CEB4-46A4-9075-45DF794C111C}" xr6:coauthVersionLast="47" xr6:coauthVersionMax="47" xr10:uidLastSave="{00000000-0000-0000-0000-000000000000}"/>
  <bookViews>
    <workbookView xWindow="-120" yWindow="-120" windowWidth="29040" windowHeight="15720" activeTab="1" xr2:uid="{00000000-000D-0000-FFFF-FFFF00000000}"/>
  </bookViews>
  <sheets>
    <sheet name="导出" sheetId="2" r:id="rId1"/>
    <sheet name="原胚编辑表" sheetId="1" r:id="rId2"/>
    <sheet name="EmbryoConfig" sheetId="3" r:id="rId3"/>
    <sheet name="Sheet1" sheetId="4" r:id="rId4"/>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 i="4" l="1"/>
  <c r="L2" i="4"/>
  <c r="M2" i="4"/>
  <c r="N2" i="4"/>
  <c r="O2" i="4"/>
  <c r="P2" i="4"/>
  <c r="Q2" i="4"/>
  <c r="R2" i="4"/>
  <c r="S2" i="4"/>
  <c r="T2" i="4"/>
  <c r="K3" i="4"/>
  <c r="L3" i="4"/>
  <c r="M3" i="4"/>
  <c r="N3" i="4"/>
  <c r="O3" i="4"/>
  <c r="P3" i="4"/>
  <c r="Q3" i="4"/>
  <c r="R3" i="4"/>
  <c r="S3" i="4"/>
  <c r="T3" i="4"/>
  <c r="K4" i="4"/>
  <c r="L4" i="4"/>
  <c r="M4" i="4"/>
  <c r="N4" i="4"/>
  <c r="O4" i="4"/>
  <c r="P4" i="4"/>
  <c r="Q4" i="4"/>
  <c r="R4" i="4"/>
  <c r="S4" i="4"/>
  <c r="T4" i="4"/>
  <c r="K5" i="4"/>
  <c r="L5" i="4"/>
  <c r="M5" i="4"/>
  <c r="N5" i="4"/>
  <c r="O5" i="4"/>
  <c r="P5" i="4"/>
  <c r="Q5" i="4"/>
  <c r="R5" i="4"/>
  <c r="S5" i="4"/>
  <c r="T5" i="4"/>
  <c r="K6" i="4"/>
  <c r="L6" i="4"/>
  <c r="M6" i="4"/>
  <c r="N6" i="4"/>
  <c r="O6" i="4"/>
  <c r="P6" i="4"/>
  <c r="Q6" i="4"/>
  <c r="R6" i="4"/>
  <c r="S6" i="4"/>
  <c r="T6" i="4"/>
  <c r="K7" i="4"/>
  <c r="L7" i="4"/>
  <c r="M7" i="4"/>
  <c r="N7" i="4"/>
  <c r="O7" i="4"/>
  <c r="P7" i="4"/>
  <c r="Q7" i="4"/>
  <c r="R7" i="4"/>
  <c r="S7" i="4"/>
  <c r="T7" i="4"/>
  <c r="K8" i="4"/>
  <c r="L8" i="4"/>
  <c r="M8" i="4"/>
  <c r="N8" i="4"/>
  <c r="O8" i="4"/>
  <c r="P8" i="4"/>
  <c r="Q8" i="4"/>
  <c r="R8" i="4"/>
  <c r="S8" i="4"/>
  <c r="T8" i="4"/>
  <c r="K9" i="4"/>
  <c r="L9" i="4"/>
  <c r="M9" i="4"/>
  <c r="N9" i="4"/>
  <c r="O9" i="4"/>
  <c r="P9" i="4"/>
  <c r="Q9" i="4"/>
  <c r="R9" i="4"/>
  <c r="S9" i="4"/>
  <c r="T9" i="4"/>
  <c r="K10" i="4"/>
  <c r="L10" i="4"/>
  <c r="M10" i="4"/>
  <c r="N10" i="4"/>
  <c r="O10" i="4"/>
  <c r="P10" i="4"/>
  <c r="Q10" i="4"/>
  <c r="R10" i="4"/>
  <c r="S10" i="4"/>
  <c r="T10" i="4"/>
  <c r="K11" i="4"/>
  <c r="L11" i="4"/>
  <c r="M11" i="4"/>
  <c r="N11" i="4"/>
  <c r="O11" i="4"/>
  <c r="P11" i="4"/>
  <c r="Q11" i="4"/>
  <c r="R11" i="4"/>
  <c r="S11" i="4"/>
  <c r="T11" i="4"/>
  <c r="K12" i="4"/>
  <c r="L12" i="4"/>
  <c r="M12" i="4"/>
  <c r="N12" i="4"/>
  <c r="O12" i="4"/>
  <c r="P12" i="4"/>
  <c r="Q12" i="4"/>
  <c r="R12" i="4"/>
  <c r="S12" i="4"/>
  <c r="T12" i="4"/>
  <c r="K13" i="4"/>
  <c r="L13" i="4"/>
  <c r="M13" i="4"/>
  <c r="N13" i="4"/>
  <c r="O13" i="4"/>
  <c r="P13" i="4"/>
  <c r="Q13" i="4"/>
  <c r="R13" i="4"/>
  <c r="S13" i="4"/>
  <c r="T13" i="4"/>
  <c r="K14" i="4"/>
  <c r="L14" i="4"/>
  <c r="M14" i="4"/>
  <c r="N14" i="4"/>
  <c r="O14" i="4"/>
  <c r="P14" i="4"/>
  <c r="Q14" i="4"/>
  <c r="R14" i="4"/>
  <c r="S14" i="4"/>
  <c r="T14" i="4"/>
  <c r="K15" i="4"/>
  <c r="L15" i="4"/>
  <c r="M15" i="4"/>
  <c r="N15" i="4"/>
  <c r="O15" i="4"/>
  <c r="P15" i="4"/>
  <c r="Q15" i="4"/>
  <c r="R15" i="4"/>
  <c r="S15" i="4"/>
  <c r="T15" i="4"/>
  <c r="K16" i="4"/>
  <c r="L16" i="4"/>
  <c r="M16" i="4"/>
  <c r="N16" i="4"/>
  <c r="O16" i="4"/>
  <c r="P16" i="4"/>
  <c r="Q16" i="4"/>
  <c r="R16" i="4"/>
  <c r="S16" i="4"/>
  <c r="T16" i="4"/>
  <c r="K17" i="4"/>
  <c r="L17" i="4"/>
  <c r="M17" i="4"/>
  <c r="N17" i="4"/>
  <c r="O17" i="4"/>
  <c r="P17" i="4"/>
  <c r="Q17" i="4"/>
  <c r="R17" i="4"/>
  <c r="S17" i="4"/>
  <c r="T17" i="4"/>
  <c r="K18" i="4"/>
  <c r="L18" i="4"/>
  <c r="M18" i="4"/>
  <c r="N18" i="4"/>
  <c r="O18" i="4"/>
  <c r="P18" i="4"/>
  <c r="Q18" i="4"/>
  <c r="R18" i="4"/>
  <c r="S18" i="4"/>
  <c r="T18" i="4"/>
  <c r="K19" i="4"/>
  <c r="L19" i="4"/>
  <c r="M19" i="4"/>
  <c r="N19" i="4"/>
  <c r="O19" i="4"/>
  <c r="P19" i="4"/>
  <c r="Q19" i="4"/>
  <c r="R19" i="4"/>
  <c r="S19" i="4"/>
  <c r="T19" i="4"/>
  <c r="K20" i="4"/>
  <c r="L20" i="4"/>
  <c r="M20" i="4"/>
  <c r="N20" i="4"/>
  <c r="O20" i="4"/>
  <c r="P20" i="4"/>
  <c r="Q20" i="4"/>
  <c r="R20" i="4"/>
  <c r="S20" i="4"/>
  <c r="T20" i="4"/>
  <c r="K21" i="4"/>
  <c r="L21" i="4"/>
  <c r="M21" i="4"/>
  <c r="N21" i="4"/>
  <c r="O21" i="4"/>
  <c r="P21" i="4"/>
  <c r="Q21" i="4"/>
  <c r="R21" i="4"/>
  <c r="S21" i="4"/>
  <c r="T21" i="4"/>
  <c r="K22" i="4"/>
  <c r="L22" i="4"/>
  <c r="M22" i="4"/>
  <c r="N22" i="4"/>
  <c r="O22" i="4"/>
  <c r="P22" i="4"/>
  <c r="Q22" i="4"/>
  <c r="R22" i="4"/>
  <c r="S22" i="4"/>
  <c r="T22" i="4"/>
  <c r="K23" i="4"/>
  <c r="L23" i="4"/>
  <c r="M23" i="4"/>
  <c r="N23" i="4"/>
  <c r="O23" i="4"/>
  <c r="P23" i="4"/>
  <c r="Q23" i="4"/>
  <c r="R23" i="4"/>
  <c r="S23" i="4"/>
  <c r="T23" i="4"/>
  <c r="K24" i="4"/>
  <c r="L24" i="4"/>
  <c r="M24" i="4"/>
  <c r="N24" i="4"/>
  <c r="O24" i="4"/>
  <c r="P24" i="4"/>
  <c r="Q24" i="4"/>
  <c r="R24" i="4"/>
  <c r="S24" i="4"/>
  <c r="T24" i="4"/>
  <c r="K25" i="4"/>
  <c r="L25" i="4"/>
  <c r="M25" i="4"/>
  <c r="N25" i="4"/>
  <c r="O25" i="4"/>
  <c r="P25" i="4"/>
  <c r="Q25" i="4"/>
  <c r="R25" i="4"/>
  <c r="S25" i="4"/>
  <c r="T25" i="4"/>
  <c r="K26" i="4"/>
  <c r="L26" i="4"/>
  <c r="M26" i="4"/>
  <c r="N26" i="4"/>
  <c r="O26" i="4"/>
  <c r="P26" i="4"/>
  <c r="Q26" i="4"/>
  <c r="R26" i="4"/>
  <c r="S26" i="4"/>
  <c r="T26" i="4"/>
  <c r="K27" i="4"/>
  <c r="L27" i="4"/>
  <c r="M27" i="4"/>
  <c r="N27" i="4"/>
  <c r="O27" i="4"/>
  <c r="P27" i="4"/>
  <c r="Q27" i="4"/>
  <c r="R27" i="4"/>
  <c r="S27" i="4"/>
  <c r="T27" i="4"/>
  <c r="K28" i="4"/>
  <c r="L28" i="4"/>
  <c r="M28" i="4"/>
  <c r="N28" i="4"/>
  <c r="O28" i="4"/>
  <c r="P28" i="4"/>
  <c r="Q28" i="4"/>
  <c r="R28" i="4"/>
  <c r="S28" i="4"/>
  <c r="T28" i="4"/>
  <c r="K29" i="4"/>
  <c r="L29" i="4"/>
  <c r="M29" i="4"/>
  <c r="N29" i="4"/>
  <c r="O29" i="4"/>
  <c r="P29" i="4"/>
  <c r="Q29" i="4"/>
  <c r="R29" i="4"/>
  <c r="S29" i="4"/>
  <c r="T29" i="4"/>
  <c r="K30" i="4"/>
  <c r="L30" i="4"/>
  <c r="M30" i="4"/>
  <c r="N30" i="4"/>
  <c r="O30" i="4"/>
  <c r="P30" i="4"/>
  <c r="Q30" i="4"/>
  <c r="R30" i="4"/>
  <c r="S30" i="4"/>
  <c r="T30" i="4"/>
  <c r="K31" i="4"/>
  <c r="L31" i="4"/>
  <c r="M31" i="4"/>
  <c r="N31" i="4"/>
  <c r="O31" i="4"/>
  <c r="P31" i="4"/>
  <c r="Q31" i="4"/>
  <c r="R31" i="4"/>
  <c r="S31" i="4"/>
  <c r="T31" i="4"/>
  <c r="K32" i="4"/>
  <c r="L32" i="4"/>
  <c r="M32" i="4"/>
  <c r="N32" i="4"/>
  <c r="O32" i="4"/>
  <c r="P32" i="4"/>
  <c r="Q32" i="4"/>
  <c r="R32" i="4"/>
  <c r="S32" i="4"/>
  <c r="T32" i="4"/>
  <c r="K33" i="4"/>
  <c r="L33" i="4"/>
  <c r="M33" i="4"/>
  <c r="N33" i="4"/>
  <c r="O33" i="4"/>
  <c r="P33" i="4"/>
  <c r="Q33" i="4"/>
  <c r="R33" i="4"/>
  <c r="S33" i="4"/>
  <c r="T33" i="4"/>
  <c r="K34" i="4"/>
  <c r="L34" i="4"/>
  <c r="M34" i="4"/>
  <c r="N34" i="4"/>
  <c r="O34" i="4"/>
  <c r="P34" i="4"/>
  <c r="Q34" i="4"/>
  <c r="R34" i="4"/>
  <c r="S34" i="4"/>
  <c r="T34" i="4"/>
  <c r="K35" i="4"/>
  <c r="L35" i="4"/>
  <c r="M35" i="4"/>
  <c r="N35" i="4"/>
  <c r="O35" i="4"/>
  <c r="P35" i="4"/>
  <c r="Q35" i="4"/>
  <c r="R35" i="4"/>
  <c r="S35" i="4"/>
  <c r="T35" i="4"/>
  <c r="K36" i="4"/>
  <c r="L36" i="4"/>
  <c r="M36" i="4"/>
  <c r="N36" i="4"/>
  <c r="O36" i="4"/>
  <c r="P36" i="4"/>
  <c r="Q36" i="4"/>
  <c r="R36" i="4"/>
  <c r="S36" i="4"/>
  <c r="T36" i="4"/>
  <c r="K37" i="4"/>
  <c r="L37" i="4"/>
  <c r="M37" i="4"/>
  <c r="N37" i="4"/>
  <c r="O37" i="4"/>
  <c r="P37" i="4"/>
  <c r="Q37" i="4"/>
  <c r="R37" i="4"/>
  <c r="S37" i="4"/>
  <c r="T37" i="4"/>
  <c r="K38" i="4"/>
  <c r="L38" i="4"/>
  <c r="M38" i="4"/>
  <c r="N38" i="4"/>
  <c r="O38" i="4"/>
  <c r="P38" i="4"/>
  <c r="Q38" i="4"/>
  <c r="R38" i="4"/>
  <c r="S38" i="4"/>
  <c r="T38" i="4"/>
  <c r="K39" i="4"/>
  <c r="L39" i="4"/>
  <c r="M39" i="4"/>
  <c r="N39" i="4"/>
  <c r="O39" i="4"/>
  <c r="P39" i="4"/>
  <c r="Q39" i="4"/>
  <c r="R39" i="4"/>
  <c r="S39" i="4"/>
  <c r="T39" i="4"/>
  <c r="K40" i="4"/>
  <c r="L40" i="4"/>
  <c r="M40" i="4"/>
  <c r="N40" i="4"/>
  <c r="O40" i="4"/>
  <c r="P40" i="4"/>
  <c r="Q40" i="4"/>
  <c r="R40" i="4"/>
  <c r="S40" i="4"/>
  <c r="T40" i="4"/>
  <c r="K41" i="4"/>
  <c r="L41" i="4"/>
  <c r="M41" i="4"/>
  <c r="N41" i="4"/>
  <c r="O41" i="4"/>
  <c r="P41" i="4"/>
  <c r="Q41" i="4"/>
  <c r="R41" i="4"/>
  <c r="S41" i="4"/>
  <c r="T41" i="4"/>
  <c r="K42" i="4"/>
  <c r="L42" i="4"/>
  <c r="M42" i="4"/>
  <c r="N42" i="4"/>
  <c r="O42" i="4"/>
  <c r="P42" i="4"/>
  <c r="Q42" i="4"/>
  <c r="R42" i="4"/>
  <c r="S42" i="4"/>
  <c r="T42" i="4"/>
  <c r="K43" i="4"/>
  <c r="L43" i="4"/>
  <c r="M43" i="4"/>
  <c r="N43" i="4"/>
  <c r="O43" i="4"/>
  <c r="P43" i="4"/>
  <c r="Q43" i="4"/>
  <c r="R43" i="4"/>
  <c r="S43" i="4"/>
  <c r="T43" i="4"/>
  <c r="K44" i="4"/>
  <c r="L44" i="4"/>
  <c r="M44" i="4"/>
  <c r="N44" i="4"/>
  <c r="O44" i="4"/>
  <c r="P44" i="4"/>
  <c r="Q44" i="4"/>
  <c r="R44" i="4"/>
  <c r="S44" i="4"/>
  <c r="T44" i="4"/>
  <c r="K45" i="4"/>
  <c r="L45" i="4"/>
  <c r="M45" i="4"/>
  <c r="N45" i="4"/>
  <c r="O45" i="4"/>
  <c r="P45" i="4"/>
  <c r="Q45" i="4"/>
  <c r="R45" i="4"/>
  <c r="S45" i="4"/>
  <c r="T45" i="4"/>
  <c r="K46" i="4"/>
  <c r="L46" i="4"/>
  <c r="M46" i="4"/>
  <c r="N46" i="4"/>
  <c r="O46" i="4"/>
  <c r="P46" i="4"/>
  <c r="Q46" i="4"/>
  <c r="R46" i="4"/>
  <c r="S46" i="4"/>
  <c r="T46" i="4"/>
  <c r="K47" i="4"/>
  <c r="L47" i="4"/>
  <c r="M47" i="4"/>
  <c r="N47" i="4"/>
  <c r="O47" i="4"/>
  <c r="P47" i="4"/>
  <c r="Q47" i="4"/>
  <c r="R47" i="4"/>
  <c r="S47" i="4"/>
  <c r="T47" i="4"/>
  <c r="K48" i="4"/>
  <c r="L48" i="4"/>
  <c r="M48" i="4"/>
  <c r="N48" i="4"/>
  <c r="O48" i="4"/>
  <c r="P48" i="4"/>
  <c r="Q48" i="4"/>
  <c r="R48" i="4"/>
  <c r="S48" i="4"/>
  <c r="T48" i="4"/>
  <c r="K49" i="4"/>
  <c r="L49" i="4"/>
  <c r="M49" i="4"/>
  <c r="N49" i="4"/>
  <c r="O49" i="4"/>
  <c r="P49" i="4"/>
  <c r="Q49" i="4"/>
  <c r="R49" i="4"/>
  <c r="S49" i="4"/>
  <c r="T49" i="4"/>
  <c r="K50" i="4"/>
  <c r="L50" i="4"/>
  <c r="M50" i="4"/>
  <c r="N50" i="4"/>
  <c r="O50" i="4"/>
  <c r="P50" i="4"/>
  <c r="Q50" i="4"/>
  <c r="R50" i="4"/>
  <c r="S50" i="4"/>
  <c r="T50" i="4"/>
  <c r="K51" i="4"/>
  <c r="L51" i="4"/>
  <c r="M51" i="4"/>
  <c r="N51" i="4"/>
  <c r="O51" i="4"/>
  <c r="P51" i="4"/>
  <c r="Q51" i="4"/>
  <c r="R51" i="4"/>
  <c r="S51" i="4"/>
  <c r="T51" i="4"/>
  <c r="K52" i="4"/>
  <c r="L52" i="4"/>
  <c r="M52" i="4"/>
  <c r="N52" i="4"/>
  <c r="O52" i="4"/>
  <c r="P52" i="4"/>
  <c r="Q52" i="4"/>
  <c r="R52" i="4"/>
  <c r="S52" i="4"/>
  <c r="T52" i="4"/>
  <c r="K53" i="4"/>
  <c r="L53" i="4"/>
  <c r="M53" i="4"/>
  <c r="N53" i="4"/>
  <c r="O53" i="4"/>
  <c r="P53" i="4"/>
  <c r="Q53" i="4"/>
  <c r="R53" i="4"/>
  <c r="S53" i="4"/>
  <c r="T53" i="4"/>
  <c r="K54" i="4"/>
  <c r="L54" i="4"/>
  <c r="M54" i="4"/>
  <c r="N54" i="4"/>
  <c r="O54" i="4"/>
  <c r="P54" i="4"/>
  <c r="Q54" i="4"/>
  <c r="R54" i="4"/>
  <c r="S54" i="4"/>
  <c r="T54" i="4"/>
  <c r="K55" i="4"/>
  <c r="L55" i="4"/>
  <c r="M55" i="4"/>
  <c r="N55" i="4"/>
  <c r="O55" i="4"/>
  <c r="P55" i="4"/>
  <c r="Q55" i="4"/>
  <c r="R55" i="4"/>
  <c r="S55" i="4"/>
  <c r="T55" i="4"/>
  <c r="K56" i="4"/>
  <c r="L56" i="4"/>
  <c r="M56" i="4"/>
  <c r="N56" i="4"/>
  <c r="O56" i="4"/>
  <c r="P56" i="4"/>
  <c r="Q56" i="4"/>
  <c r="R56" i="4"/>
  <c r="S56" i="4"/>
  <c r="T56" i="4"/>
  <c r="K57" i="4"/>
  <c r="L57" i="4"/>
  <c r="M57" i="4"/>
  <c r="N57" i="4"/>
  <c r="O57" i="4"/>
  <c r="P57" i="4"/>
  <c r="Q57" i="4"/>
  <c r="R57" i="4"/>
  <c r="S57" i="4"/>
  <c r="T57" i="4"/>
  <c r="K58" i="4"/>
  <c r="L58" i="4"/>
  <c r="M58" i="4"/>
  <c r="N58" i="4"/>
  <c r="O58" i="4"/>
  <c r="P58" i="4"/>
  <c r="Q58" i="4"/>
  <c r="R58" i="4"/>
  <c r="S58" i="4"/>
  <c r="T58" i="4"/>
  <c r="K59" i="4"/>
  <c r="L59" i="4"/>
  <c r="M59" i="4"/>
  <c r="N59" i="4"/>
  <c r="O59" i="4"/>
  <c r="P59" i="4"/>
  <c r="Q59" i="4"/>
  <c r="R59" i="4"/>
  <c r="S59" i="4"/>
  <c r="T59" i="4"/>
  <c r="K60" i="4"/>
  <c r="L60" i="4"/>
  <c r="M60" i="4"/>
  <c r="N60" i="4"/>
  <c r="O60" i="4"/>
  <c r="P60" i="4"/>
  <c r="Q60" i="4"/>
  <c r="R60" i="4"/>
  <c r="S60" i="4"/>
  <c r="T60" i="4"/>
  <c r="K61" i="4"/>
  <c r="L61" i="4"/>
  <c r="M61" i="4"/>
  <c r="N61" i="4"/>
  <c r="O61" i="4"/>
  <c r="P61" i="4"/>
  <c r="Q61" i="4"/>
  <c r="R61" i="4"/>
  <c r="S61" i="4"/>
  <c r="T61" i="4"/>
  <c r="K62" i="4"/>
  <c r="L62" i="4"/>
  <c r="M62" i="4"/>
  <c r="N62" i="4"/>
  <c r="O62" i="4"/>
  <c r="P62" i="4"/>
  <c r="Q62" i="4"/>
  <c r="R62" i="4"/>
  <c r="S62" i="4"/>
  <c r="T62" i="4"/>
  <c r="K63" i="4"/>
  <c r="L63" i="4"/>
  <c r="M63" i="4"/>
  <c r="N63" i="4"/>
  <c r="O63" i="4"/>
  <c r="P63" i="4"/>
  <c r="Q63" i="4"/>
  <c r="R63" i="4"/>
  <c r="S63" i="4"/>
  <c r="T63" i="4"/>
  <c r="K64" i="4"/>
  <c r="L64" i="4"/>
  <c r="M64" i="4"/>
  <c r="N64" i="4"/>
  <c r="O64" i="4"/>
  <c r="P64" i="4"/>
  <c r="Q64" i="4"/>
  <c r="R64" i="4"/>
  <c r="S64" i="4"/>
  <c r="T64" i="4"/>
  <c r="K65" i="4"/>
  <c r="L65" i="4"/>
  <c r="M65" i="4"/>
  <c r="N65" i="4"/>
  <c r="O65" i="4"/>
  <c r="P65" i="4"/>
  <c r="Q65" i="4"/>
  <c r="R65" i="4"/>
  <c r="S65" i="4"/>
  <c r="T65" i="4"/>
  <c r="K66" i="4"/>
  <c r="L66" i="4"/>
  <c r="M66" i="4"/>
  <c r="N66" i="4"/>
  <c r="O66" i="4"/>
  <c r="P66" i="4"/>
  <c r="Q66" i="4"/>
  <c r="R66" i="4"/>
  <c r="S66" i="4"/>
  <c r="T66" i="4"/>
  <c r="K67" i="4"/>
  <c r="L67" i="4"/>
  <c r="M67" i="4"/>
  <c r="N67" i="4"/>
  <c r="O67" i="4"/>
  <c r="P67" i="4"/>
  <c r="Q67" i="4"/>
  <c r="R67" i="4"/>
  <c r="S67" i="4"/>
  <c r="T67" i="4"/>
  <c r="K68" i="4"/>
  <c r="L68" i="4"/>
  <c r="M68" i="4"/>
  <c r="N68" i="4"/>
  <c r="O68" i="4"/>
  <c r="P68" i="4"/>
  <c r="Q68" i="4"/>
  <c r="R68" i="4"/>
  <c r="S68" i="4"/>
  <c r="T68" i="4"/>
  <c r="K69" i="4"/>
  <c r="L69" i="4"/>
  <c r="M69" i="4"/>
  <c r="N69" i="4"/>
  <c r="O69" i="4"/>
  <c r="P69" i="4"/>
  <c r="Q69" i="4"/>
  <c r="R69" i="4"/>
  <c r="S69" i="4"/>
  <c r="T69" i="4"/>
  <c r="K70" i="4"/>
  <c r="L70" i="4"/>
  <c r="M70" i="4"/>
  <c r="N70" i="4"/>
  <c r="O70" i="4"/>
  <c r="P70" i="4"/>
  <c r="Q70" i="4"/>
  <c r="R70" i="4"/>
  <c r="S70" i="4"/>
  <c r="T70" i="4"/>
  <c r="K71" i="4"/>
  <c r="L71" i="4"/>
  <c r="M71" i="4"/>
  <c r="N71" i="4"/>
  <c r="O71" i="4"/>
  <c r="P71" i="4"/>
  <c r="Q71" i="4"/>
  <c r="R71" i="4"/>
  <c r="S71" i="4"/>
  <c r="T71" i="4"/>
  <c r="K72" i="4"/>
  <c r="L72" i="4"/>
  <c r="M72" i="4"/>
  <c r="N72" i="4"/>
  <c r="O72" i="4"/>
  <c r="P72" i="4"/>
  <c r="Q72" i="4"/>
  <c r="R72" i="4"/>
  <c r="S72" i="4"/>
  <c r="T72" i="4"/>
  <c r="K73" i="4"/>
  <c r="L73" i="4"/>
  <c r="M73" i="4"/>
  <c r="N73" i="4"/>
  <c r="O73" i="4"/>
  <c r="P73" i="4"/>
  <c r="Q73" i="4"/>
  <c r="R73" i="4"/>
  <c r="S73" i="4"/>
  <c r="T73" i="4"/>
  <c r="K74" i="4"/>
  <c r="L74" i="4"/>
  <c r="M74" i="4"/>
  <c r="N74" i="4"/>
  <c r="O74" i="4"/>
  <c r="P74" i="4"/>
  <c r="Q74" i="4"/>
  <c r="R74" i="4"/>
  <c r="S74" i="4"/>
  <c r="T74" i="4"/>
  <c r="K75" i="4"/>
  <c r="L75" i="4"/>
  <c r="M75" i="4"/>
  <c r="N75" i="4"/>
  <c r="O75" i="4"/>
  <c r="P75" i="4"/>
  <c r="Q75" i="4"/>
  <c r="R75" i="4"/>
  <c r="S75" i="4"/>
  <c r="T75" i="4"/>
  <c r="K76" i="4"/>
  <c r="L76" i="4"/>
  <c r="M76" i="4"/>
  <c r="N76" i="4"/>
  <c r="O76" i="4"/>
  <c r="P76" i="4"/>
  <c r="Q76" i="4"/>
  <c r="R76" i="4"/>
  <c r="S76" i="4"/>
  <c r="T76" i="4"/>
  <c r="K77" i="4"/>
  <c r="L77" i="4"/>
  <c r="M77" i="4"/>
  <c r="N77" i="4"/>
  <c r="O77" i="4"/>
  <c r="P77" i="4"/>
  <c r="Q77" i="4"/>
  <c r="R77" i="4"/>
  <c r="S77" i="4"/>
  <c r="T77" i="4"/>
  <c r="K78" i="4"/>
  <c r="L78" i="4"/>
  <c r="M78" i="4"/>
  <c r="N78" i="4"/>
  <c r="O78" i="4"/>
  <c r="P78" i="4"/>
  <c r="Q78" i="4"/>
  <c r="R78" i="4"/>
  <c r="S78" i="4"/>
  <c r="T78" i="4"/>
  <c r="K79" i="4"/>
  <c r="L79" i="4"/>
  <c r="M79" i="4"/>
  <c r="N79" i="4"/>
  <c r="O79" i="4"/>
  <c r="P79" i="4"/>
  <c r="Q79" i="4"/>
  <c r="R79" i="4"/>
  <c r="S79" i="4"/>
  <c r="T79" i="4"/>
  <c r="K80" i="4"/>
  <c r="L80" i="4"/>
  <c r="M80" i="4"/>
  <c r="N80" i="4"/>
  <c r="O80" i="4"/>
  <c r="P80" i="4"/>
  <c r="Q80" i="4"/>
  <c r="R80" i="4"/>
  <c r="S80" i="4"/>
  <c r="T80" i="4"/>
  <c r="K81" i="4"/>
  <c r="L81" i="4"/>
  <c r="M81" i="4"/>
  <c r="N81" i="4"/>
  <c r="O81" i="4"/>
  <c r="P81" i="4"/>
  <c r="Q81" i="4"/>
  <c r="R81" i="4"/>
  <c r="S81" i="4"/>
  <c r="T81" i="4"/>
  <c r="K82" i="4"/>
  <c r="L82" i="4"/>
  <c r="M82" i="4"/>
  <c r="N82" i="4"/>
  <c r="O82" i="4"/>
  <c r="P82" i="4"/>
  <c r="Q82" i="4"/>
  <c r="R82" i="4"/>
  <c r="S82" i="4"/>
  <c r="T82" i="4"/>
  <c r="K83" i="4"/>
  <c r="L83" i="4"/>
  <c r="M83" i="4"/>
  <c r="N83" i="4"/>
  <c r="O83" i="4"/>
  <c r="P83" i="4"/>
  <c r="Q83" i="4"/>
  <c r="R83" i="4"/>
  <c r="S83" i="4"/>
  <c r="T83" i="4"/>
  <c r="K84" i="4"/>
  <c r="L84" i="4"/>
  <c r="M84" i="4"/>
  <c r="N84" i="4"/>
  <c r="O84" i="4"/>
  <c r="P84" i="4"/>
  <c r="Q84" i="4"/>
  <c r="R84" i="4"/>
  <c r="S84" i="4"/>
  <c r="T84" i="4"/>
  <c r="K85" i="4"/>
  <c r="L85" i="4"/>
  <c r="M85" i="4"/>
  <c r="N85" i="4"/>
  <c r="O85" i="4"/>
  <c r="P85" i="4"/>
  <c r="Q85" i="4"/>
  <c r="R85" i="4"/>
  <c r="S85" i="4"/>
  <c r="T85" i="4"/>
  <c r="K86" i="4"/>
  <c r="L86" i="4"/>
  <c r="M86" i="4"/>
  <c r="N86" i="4"/>
  <c r="O86" i="4"/>
  <c r="P86" i="4"/>
  <c r="Q86" i="4"/>
  <c r="R86" i="4"/>
  <c r="S86" i="4"/>
  <c r="T86" i="4"/>
  <c r="K87" i="4"/>
  <c r="L87" i="4"/>
  <c r="M87" i="4"/>
  <c r="N87" i="4"/>
  <c r="O87" i="4"/>
  <c r="P87" i="4"/>
  <c r="Q87" i="4"/>
  <c r="R87" i="4"/>
  <c r="S87" i="4"/>
  <c r="T87" i="4"/>
  <c r="K88" i="4"/>
  <c r="L88" i="4"/>
  <c r="M88" i="4"/>
  <c r="N88" i="4"/>
  <c r="O88" i="4"/>
  <c r="P88" i="4"/>
  <c r="Q88" i="4"/>
  <c r="R88" i="4"/>
  <c r="S88" i="4"/>
  <c r="T88" i="4"/>
  <c r="K89" i="4"/>
  <c r="L89" i="4"/>
  <c r="M89" i="4"/>
  <c r="N89" i="4"/>
  <c r="O89" i="4"/>
  <c r="P89" i="4"/>
  <c r="Q89" i="4"/>
  <c r="R89" i="4"/>
  <c r="S89" i="4"/>
  <c r="T89" i="4"/>
  <c r="K90" i="4"/>
  <c r="L90" i="4"/>
  <c r="M90" i="4"/>
  <c r="N90" i="4"/>
  <c r="O90" i="4"/>
  <c r="P90" i="4"/>
  <c r="Q90" i="4"/>
  <c r="R90" i="4"/>
  <c r="S90" i="4"/>
  <c r="T90" i="4"/>
  <c r="K91" i="4"/>
  <c r="L91" i="4"/>
  <c r="M91" i="4"/>
  <c r="N91" i="4"/>
  <c r="O91" i="4"/>
  <c r="P91" i="4"/>
  <c r="Q91" i="4"/>
  <c r="R91" i="4"/>
  <c r="S91" i="4"/>
  <c r="T91" i="4"/>
  <c r="K92" i="4"/>
  <c r="L92" i="4"/>
  <c r="M92" i="4"/>
  <c r="N92" i="4"/>
  <c r="O92" i="4"/>
  <c r="P92" i="4"/>
  <c r="Q92" i="4"/>
  <c r="R92" i="4"/>
  <c r="S92" i="4"/>
  <c r="T92" i="4"/>
  <c r="K93" i="4"/>
  <c r="L93" i="4"/>
  <c r="M93" i="4"/>
  <c r="N93" i="4"/>
  <c r="O93" i="4"/>
  <c r="P93" i="4"/>
  <c r="Q93" i="4"/>
  <c r="R93" i="4"/>
  <c r="S93" i="4"/>
  <c r="T93" i="4"/>
  <c r="K94" i="4"/>
  <c r="L94" i="4"/>
  <c r="M94" i="4"/>
  <c r="N94" i="4"/>
  <c r="O94" i="4"/>
  <c r="P94" i="4"/>
  <c r="Q94" i="4"/>
  <c r="R94" i="4"/>
  <c r="S94" i="4"/>
  <c r="T94" i="4"/>
  <c r="K95" i="4"/>
  <c r="L95" i="4"/>
  <c r="M95" i="4"/>
  <c r="N95" i="4"/>
  <c r="O95" i="4"/>
  <c r="P95" i="4"/>
  <c r="Q95" i="4"/>
  <c r="R95" i="4"/>
  <c r="S95" i="4"/>
  <c r="T95" i="4"/>
  <c r="K96" i="4"/>
  <c r="L96" i="4"/>
  <c r="M96" i="4"/>
  <c r="N96" i="4"/>
  <c r="O96" i="4"/>
  <c r="P96" i="4"/>
  <c r="Q96" i="4"/>
  <c r="R96" i="4"/>
  <c r="S96" i="4"/>
  <c r="T96" i="4"/>
  <c r="K97" i="4"/>
  <c r="L97" i="4"/>
  <c r="M97" i="4"/>
  <c r="N97" i="4"/>
  <c r="O97" i="4"/>
  <c r="P97" i="4"/>
  <c r="Q97" i="4"/>
  <c r="R97" i="4"/>
  <c r="S97" i="4"/>
  <c r="T97" i="4"/>
  <c r="K98" i="4"/>
  <c r="L98" i="4"/>
  <c r="M98" i="4"/>
  <c r="N98" i="4"/>
  <c r="O98" i="4"/>
  <c r="P98" i="4"/>
  <c r="Q98" i="4"/>
  <c r="R98" i="4"/>
  <c r="S98" i="4"/>
  <c r="T98" i="4"/>
  <c r="K99" i="4"/>
  <c r="L99" i="4"/>
  <c r="M99" i="4"/>
  <c r="N99" i="4"/>
  <c r="O99" i="4"/>
  <c r="P99" i="4"/>
  <c r="Q99" i="4"/>
  <c r="R99" i="4"/>
  <c r="S99" i="4"/>
  <c r="T99" i="4"/>
  <c r="K100" i="4"/>
  <c r="L100" i="4"/>
  <c r="M100" i="4"/>
  <c r="N100" i="4"/>
  <c r="O100" i="4"/>
  <c r="P100" i="4"/>
  <c r="Q100" i="4"/>
  <c r="R100" i="4"/>
  <c r="S100" i="4"/>
  <c r="T100" i="4"/>
  <c r="K101" i="4"/>
  <c r="L101" i="4"/>
  <c r="M101" i="4"/>
  <c r="N101" i="4"/>
  <c r="O101" i="4"/>
  <c r="P101" i="4"/>
  <c r="Q101" i="4"/>
  <c r="R101" i="4"/>
  <c r="S101" i="4"/>
  <c r="T101" i="4"/>
  <c r="K102" i="4"/>
  <c r="L102" i="4"/>
  <c r="M102" i="4"/>
  <c r="N102" i="4"/>
  <c r="O102" i="4"/>
  <c r="P102" i="4"/>
  <c r="Q102" i="4"/>
  <c r="R102" i="4"/>
  <c r="S102" i="4"/>
  <c r="T102" i="4"/>
  <c r="K103" i="4"/>
  <c r="L103" i="4"/>
  <c r="M103" i="4"/>
  <c r="N103" i="4"/>
  <c r="O103" i="4"/>
  <c r="P103" i="4"/>
  <c r="Q103" i="4"/>
  <c r="R103" i="4"/>
  <c r="S103" i="4"/>
  <c r="T103" i="4"/>
  <c r="K104" i="4"/>
  <c r="L104" i="4"/>
  <c r="M104" i="4"/>
  <c r="N104" i="4"/>
  <c r="O104" i="4"/>
  <c r="P104" i="4"/>
  <c r="Q104" i="4"/>
  <c r="R104" i="4"/>
  <c r="S104" i="4"/>
  <c r="T104" i="4"/>
  <c r="K105" i="4"/>
  <c r="L105" i="4"/>
  <c r="M105" i="4"/>
  <c r="N105" i="4"/>
  <c r="O105" i="4"/>
  <c r="P105" i="4"/>
  <c r="Q105" i="4"/>
  <c r="R105" i="4"/>
  <c r="S105" i="4"/>
  <c r="T105" i="4"/>
  <c r="K106" i="4"/>
  <c r="L106" i="4"/>
  <c r="M106" i="4"/>
  <c r="N106" i="4"/>
  <c r="O106" i="4"/>
  <c r="P106" i="4"/>
  <c r="Q106" i="4"/>
  <c r="R106" i="4"/>
  <c r="S106" i="4"/>
  <c r="T106" i="4"/>
  <c r="K107" i="4"/>
  <c r="L107" i="4"/>
  <c r="M107" i="4"/>
  <c r="N107" i="4"/>
  <c r="O107" i="4"/>
  <c r="P107" i="4"/>
  <c r="Q107" i="4"/>
  <c r="R107" i="4"/>
  <c r="S107" i="4"/>
  <c r="T107" i="4"/>
  <c r="K108" i="4"/>
  <c r="L108" i="4"/>
  <c r="M108" i="4"/>
  <c r="N108" i="4"/>
  <c r="O108" i="4"/>
  <c r="P108" i="4"/>
  <c r="Q108" i="4"/>
  <c r="R108" i="4"/>
  <c r="S108" i="4"/>
  <c r="T108" i="4"/>
  <c r="K109" i="4"/>
  <c r="L109" i="4"/>
  <c r="M109" i="4"/>
  <c r="N109" i="4"/>
  <c r="O109" i="4"/>
  <c r="P109" i="4"/>
  <c r="Q109" i="4"/>
  <c r="R109" i="4"/>
  <c r="S109" i="4"/>
  <c r="T109" i="4"/>
  <c r="K110" i="4"/>
  <c r="L110" i="4"/>
  <c r="M110" i="4"/>
  <c r="N110" i="4"/>
  <c r="O110" i="4"/>
  <c r="P110" i="4"/>
  <c r="Q110" i="4"/>
  <c r="R110" i="4"/>
  <c r="S110" i="4"/>
  <c r="T110" i="4"/>
  <c r="K111" i="4"/>
  <c r="L111" i="4"/>
  <c r="M111" i="4"/>
  <c r="N111" i="4"/>
  <c r="O111" i="4"/>
  <c r="P111" i="4"/>
  <c r="Q111" i="4"/>
  <c r="R111" i="4"/>
  <c r="S111" i="4"/>
  <c r="T111" i="4"/>
  <c r="K112" i="4"/>
  <c r="L112" i="4"/>
  <c r="M112" i="4"/>
  <c r="N112" i="4"/>
  <c r="O112" i="4"/>
  <c r="P112" i="4"/>
  <c r="Q112" i="4"/>
  <c r="R112" i="4"/>
  <c r="S112" i="4"/>
  <c r="T112" i="4"/>
  <c r="K113" i="4"/>
  <c r="L113" i="4"/>
  <c r="M113" i="4"/>
  <c r="N113" i="4"/>
  <c r="O113" i="4"/>
  <c r="P113" i="4"/>
  <c r="Q113" i="4"/>
  <c r="R113" i="4"/>
  <c r="S113" i="4"/>
  <c r="T113" i="4"/>
  <c r="K114" i="4"/>
  <c r="L114" i="4"/>
  <c r="M114" i="4"/>
  <c r="N114" i="4"/>
  <c r="O114" i="4"/>
  <c r="P114" i="4"/>
  <c r="Q114" i="4"/>
  <c r="R114" i="4"/>
  <c r="S114" i="4"/>
  <c r="T114" i="4"/>
  <c r="K115" i="4"/>
  <c r="L115" i="4"/>
  <c r="M115" i="4"/>
  <c r="N115" i="4"/>
  <c r="O115" i="4"/>
  <c r="P115" i="4"/>
  <c r="Q115" i="4"/>
  <c r="R115" i="4"/>
  <c r="S115" i="4"/>
  <c r="T115" i="4"/>
  <c r="K116" i="4"/>
  <c r="L116" i="4"/>
  <c r="M116" i="4"/>
  <c r="N116" i="4"/>
  <c r="O116" i="4"/>
  <c r="P116" i="4"/>
  <c r="Q116" i="4"/>
  <c r="R116" i="4"/>
  <c r="S116" i="4"/>
  <c r="T116" i="4"/>
  <c r="K117" i="4"/>
  <c r="L117" i="4"/>
  <c r="M117" i="4"/>
  <c r="N117" i="4"/>
  <c r="O117" i="4"/>
  <c r="P117" i="4"/>
  <c r="Q117" i="4"/>
  <c r="R117" i="4"/>
  <c r="S117" i="4"/>
  <c r="T117" i="4"/>
  <c r="K118" i="4"/>
  <c r="L118" i="4"/>
  <c r="M118" i="4"/>
  <c r="N118" i="4"/>
  <c r="O118" i="4"/>
  <c r="P118" i="4"/>
  <c r="Q118" i="4"/>
  <c r="R118" i="4"/>
  <c r="S118" i="4"/>
  <c r="T118" i="4"/>
  <c r="K119" i="4"/>
  <c r="L119" i="4"/>
  <c r="M119" i="4"/>
  <c r="N119" i="4"/>
  <c r="O119" i="4"/>
  <c r="P119" i="4"/>
  <c r="Q119" i="4"/>
  <c r="R119" i="4"/>
  <c r="S119" i="4"/>
  <c r="T119" i="4"/>
  <c r="K120" i="4"/>
  <c r="L120" i="4"/>
  <c r="M120" i="4"/>
  <c r="N120" i="4"/>
  <c r="O120" i="4"/>
  <c r="P120" i="4"/>
  <c r="Q120" i="4"/>
  <c r="R120" i="4"/>
  <c r="S120" i="4"/>
  <c r="T120" i="4"/>
  <c r="K121" i="4"/>
  <c r="L121" i="4"/>
  <c r="M121" i="4"/>
  <c r="N121" i="4"/>
  <c r="O121" i="4"/>
  <c r="P121" i="4"/>
  <c r="Q121" i="4"/>
  <c r="R121" i="4"/>
  <c r="S121" i="4"/>
  <c r="T121" i="4"/>
  <c r="K122" i="4"/>
  <c r="L122" i="4"/>
  <c r="M122" i="4"/>
  <c r="N122" i="4"/>
  <c r="O122" i="4"/>
  <c r="P122" i="4"/>
  <c r="Q122" i="4"/>
  <c r="R122" i="4"/>
  <c r="S122" i="4"/>
  <c r="T122" i="4"/>
  <c r="K123" i="4"/>
  <c r="L123" i="4"/>
  <c r="M123" i="4"/>
  <c r="N123" i="4"/>
  <c r="O123" i="4"/>
  <c r="P123" i="4"/>
  <c r="Q123" i="4"/>
  <c r="R123" i="4"/>
  <c r="S123" i="4"/>
  <c r="T123" i="4"/>
  <c r="K124" i="4"/>
  <c r="L124" i="4"/>
  <c r="M124" i="4"/>
  <c r="N124" i="4"/>
  <c r="O124" i="4"/>
  <c r="P124" i="4"/>
  <c r="Q124" i="4"/>
  <c r="R124" i="4"/>
  <c r="S124" i="4"/>
  <c r="T124" i="4"/>
  <c r="K125" i="4"/>
  <c r="L125" i="4"/>
  <c r="M125" i="4"/>
  <c r="N125" i="4"/>
  <c r="O125" i="4"/>
  <c r="P125" i="4"/>
  <c r="Q125" i="4"/>
  <c r="R125" i="4"/>
  <c r="S125" i="4"/>
  <c r="T125" i="4"/>
  <c r="K126" i="4"/>
  <c r="L126" i="4"/>
  <c r="M126" i="4"/>
  <c r="N126" i="4"/>
  <c r="O126" i="4"/>
  <c r="P126" i="4"/>
  <c r="Q126" i="4"/>
  <c r="R126" i="4"/>
  <c r="S126" i="4"/>
  <c r="T126" i="4"/>
  <c r="K127" i="4"/>
  <c r="L127" i="4"/>
  <c r="M127" i="4"/>
  <c r="N127" i="4"/>
  <c r="O127" i="4"/>
  <c r="P127" i="4"/>
  <c r="Q127" i="4"/>
  <c r="R127" i="4"/>
  <c r="S127" i="4"/>
  <c r="T127" i="4"/>
  <c r="K128" i="4"/>
  <c r="L128" i="4"/>
  <c r="M128" i="4"/>
  <c r="N128" i="4"/>
  <c r="O128" i="4"/>
  <c r="P128" i="4"/>
  <c r="Q128" i="4"/>
  <c r="R128" i="4"/>
  <c r="S128" i="4"/>
  <c r="T128" i="4"/>
  <c r="K129" i="4"/>
  <c r="L129" i="4"/>
  <c r="M129" i="4"/>
  <c r="N129" i="4"/>
  <c r="O129" i="4"/>
  <c r="P129" i="4"/>
  <c r="Q129" i="4"/>
  <c r="R129" i="4"/>
  <c r="S129" i="4"/>
  <c r="T129" i="4"/>
  <c r="K130" i="4"/>
  <c r="L130" i="4"/>
  <c r="M130" i="4"/>
  <c r="N130" i="4"/>
  <c r="O130" i="4"/>
  <c r="P130" i="4"/>
  <c r="Q130" i="4"/>
  <c r="R130" i="4"/>
  <c r="S130" i="4"/>
  <c r="T130" i="4"/>
  <c r="K131" i="4"/>
  <c r="L131" i="4"/>
  <c r="M131" i="4"/>
  <c r="N131" i="4"/>
  <c r="O131" i="4"/>
  <c r="P131" i="4"/>
  <c r="Q131" i="4"/>
  <c r="R131" i="4"/>
  <c r="S131" i="4"/>
  <c r="T131" i="4"/>
  <c r="K132" i="4"/>
  <c r="L132" i="4"/>
  <c r="M132" i="4"/>
  <c r="N132" i="4"/>
  <c r="O132" i="4"/>
  <c r="P132" i="4"/>
  <c r="Q132" i="4"/>
  <c r="R132" i="4"/>
  <c r="S132" i="4"/>
  <c r="T132" i="4"/>
  <c r="K133" i="4"/>
  <c r="L133" i="4"/>
  <c r="M133" i="4"/>
  <c r="N133" i="4"/>
  <c r="O133" i="4"/>
  <c r="P133" i="4"/>
  <c r="Q133" i="4"/>
  <c r="R133" i="4"/>
  <c r="S133" i="4"/>
  <c r="T133" i="4"/>
  <c r="K134" i="4"/>
  <c r="L134" i="4"/>
  <c r="M134" i="4"/>
  <c r="N134" i="4"/>
  <c r="O134" i="4"/>
  <c r="P134" i="4"/>
  <c r="Q134" i="4"/>
  <c r="R134" i="4"/>
  <c r="S134" i="4"/>
  <c r="T134" i="4"/>
  <c r="K135" i="4"/>
  <c r="L135" i="4"/>
  <c r="M135" i="4"/>
  <c r="N135" i="4"/>
  <c r="O135" i="4"/>
  <c r="P135" i="4"/>
  <c r="Q135" i="4"/>
  <c r="R135" i="4"/>
  <c r="S135" i="4"/>
  <c r="T135" i="4"/>
  <c r="K136" i="4"/>
  <c r="L136" i="4"/>
  <c r="M136" i="4"/>
  <c r="N136" i="4"/>
  <c r="O136" i="4"/>
  <c r="P136" i="4"/>
  <c r="Q136" i="4"/>
  <c r="R136" i="4"/>
  <c r="S136" i="4"/>
  <c r="T136" i="4"/>
  <c r="K137" i="4"/>
  <c r="L137" i="4"/>
  <c r="M137" i="4"/>
  <c r="N137" i="4"/>
  <c r="O137" i="4"/>
  <c r="P137" i="4"/>
  <c r="Q137" i="4"/>
  <c r="R137" i="4"/>
  <c r="S137" i="4"/>
  <c r="T137" i="4"/>
  <c r="K138" i="4"/>
  <c r="L138" i="4"/>
  <c r="M138" i="4"/>
  <c r="N138" i="4"/>
  <c r="O138" i="4"/>
  <c r="P138" i="4"/>
  <c r="Q138" i="4"/>
  <c r="R138" i="4"/>
  <c r="S138" i="4"/>
  <c r="T138" i="4"/>
  <c r="K139" i="4"/>
  <c r="L139" i="4"/>
  <c r="M139" i="4"/>
  <c r="N139" i="4"/>
  <c r="O139" i="4"/>
  <c r="P139" i="4"/>
  <c r="Q139" i="4"/>
  <c r="R139" i="4"/>
  <c r="S139" i="4"/>
  <c r="T139" i="4"/>
  <c r="K140" i="4"/>
  <c r="L140" i="4"/>
  <c r="M140" i="4"/>
  <c r="N140" i="4"/>
  <c r="O140" i="4"/>
  <c r="P140" i="4"/>
  <c r="Q140" i="4"/>
  <c r="R140" i="4"/>
  <c r="S140" i="4"/>
  <c r="T140" i="4"/>
  <c r="K141" i="4"/>
  <c r="L141" i="4"/>
  <c r="M141" i="4"/>
  <c r="N141" i="4"/>
  <c r="O141" i="4"/>
  <c r="P141" i="4"/>
  <c r="Q141" i="4"/>
  <c r="R141" i="4"/>
  <c r="S141" i="4"/>
  <c r="T141" i="4"/>
  <c r="K142" i="4"/>
  <c r="L142" i="4"/>
  <c r="M142" i="4"/>
  <c r="N142" i="4"/>
  <c r="O142" i="4"/>
  <c r="P142" i="4"/>
  <c r="Q142" i="4"/>
  <c r="R142" i="4"/>
  <c r="S142" i="4"/>
  <c r="T142" i="4"/>
  <c r="L1" i="4"/>
  <c r="M1" i="4"/>
  <c r="N1" i="4"/>
  <c r="O1" i="4"/>
  <c r="P1" i="4"/>
  <c r="Q1" i="4"/>
  <c r="R1" i="4"/>
  <c r="S1" i="4"/>
  <c r="T1" i="4"/>
  <c r="K1" i="4"/>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alcChain>
</file>

<file path=xl/sharedStrings.xml><?xml version="1.0" encoding="utf-8"?>
<sst xmlns="http://schemas.openxmlformats.org/spreadsheetml/2006/main" count="4882" uniqueCount="1047">
  <si>
    <t>id编号</t>
    <phoneticPr fontId="1" type="noConversion"/>
  </si>
  <si>
    <t>默认值</t>
  </si>
  <si>
    <t>字段含义</t>
    <phoneticPr fontId="2" type="noConversion"/>
  </si>
  <si>
    <t>填写规则</t>
  </si>
  <si>
    <t>备注</t>
  </si>
  <si>
    <t>类型</t>
  </si>
  <si>
    <t>int</t>
    <phoneticPr fontId="2" type="noConversion"/>
  </si>
  <si>
    <t>字段名</t>
  </si>
  <si>
    <t>ID</t>
    <phoneticPr fontId="2" type="noConversion"/>
  </si>
  <si>
    <t>Name</t>
    <phoneticPr fontId="2" type="noConversion"/>
  </si>
  <si>
    <t>字段名</t>
    <phoneticPr fontId="1" type="noConversion"/>
  </si>
  <si>
    <t>类型</t>
    <phoneticPr fontId="1" type="noConversion"/>
  </si>
  <si>
    <t>string</t>
    <phoneticPr fontId="2" type="noConversion"/>
  </si>
  <si>
    <t>int</t>
    <phoneticPr fontId="1" type="noConversion"/>
  </si>
  <si>
    <t>id</t>
    <phoneticPr fontId="1" type="noConversion"/>
  </si>
  <si>
    <t>原胚名称</t>
    <phoneticPr fontId="1" type="noConversion"/>
  </si>
  <si>
    <t>原胚品质</t>
    <phoneticPr fontId="1" type="noConversion"/>
  </si>
  <si>
    <t>原胚描述</t>
    <phoneticPr fontId="1" type="noConversion"/>
  </si>
  <si>
    <t>String</t>
    <phoneticPr fontId="1" type="noConversion"/>
  </si>
  <si>
    <t>EmbryoQuality</t>
    <phoneticPr fontId="1" type="noConversion"/>
  </si>
  <si>
    <t>EmbryoDescription</t>
    <phoneticPr fontId="1" type="noConversion"/>
  </si>
  <si>
    <t>继承百分比</t>
    <phoneticPr fontId="1" type="noConversion"/>
  </si>
  <si>
    <t>原胚种类</t>
    <phoneticPr fontId="1" type="noConversion"/>
  </si>
  <si>
    <t>EmbryoTpye</t>
    <phoneticPr fontId="1" type="noConversion"/>
  </si>
  <si>
    <t>原胚贴图</t>
    <phoneticPr fontId="1" type="noConversion"/>
  </si>
  <si>
    <t>原胚特效组</t>
    <phoneticPr fontId="1" type="noConversion"/>
  </si>
  <si>
    <t>锻造武器ID</t>
    <phoneticPr fontId="1" type="noConversion"/>
  </si>
  <si>
    <t>WeaponID</t>
    <phoneticPr fontId="1" type="noConversion"/>
  </si>
  <si>
    <t>EmbryoIrons</t>
    <phoneticPr fontId="1" type="noConversion"/>
  </si>
  <si>
    <t>EmbryoEffects</t>
    <phoneticPr fontId="1" type="noConversion"/>
  </si>
  <si>
    <t>int[]</t>
    <phoneticPr fontId="1" type="noConversion"/>
  </si>
  <si>
    <t>string</t>
    <phoneticPr fontId="1" type="noConversion"/>
  </si>
  <si>
    <t>附带效果描述</t>
    <phoneticPr fontId="1" type="noConversion"/>
  </si>
  <si>
    <t>EffectDescription</t>
    <phoneticPr fontId="1" type="noConversion"/>
  </si>
  <si>
    <t>耐久度</t>
    <phoneticPr fontId="1" type="noConversion"/>
  </si>
  <si>
    <t>耐修值</t>
    <phoneticPr fontId="1" type="noConversion"/>
  </si>
  <si>
    <t>Durability</t>
    <phoneticPr fontId="1" type="noConversion"/>
  </si>
  <si>
    <t>Maintainability</t>
    <phoneticPr fontId="1" type="noConversion"/>
  </si>
  <si>
    <t>伤害类型</t>
    <phoneticPr fontId="1" type="noConversion"/>
  </si>
  <si>
    <t>0、物理
1、能量</t>
    <phoneticPr fontId="1" type="noConversion"/>
  </si>
  <si>
    <t>DamageTpye</t>
    <phoneticPr fontId="1" type="noConversion"/>
  </si>
  <si>
    <t>破损的旅者剑</t>
  </si>
  <si>
    <t>某人遗落的锈斧</t>
  </si>
  <si>
    <t>风化的反曲弓</t>
  </si>
  <si>
    <t>燧石杖</t>
  </si>
  <si>
    <t>杂兵的风帽</t>
  </si>
  <si>
    <t>杂兵的夹皮铁甲</t>
  </si>
  <si>
    <t>杂兵的护膝</t>
  </si>
  <si>
    <t>杂兵的皮靴</t>
  </si>
  <si>
    <t>锈刀【无名】</t>
  </si>
  <si>
    <t>巨剑</t>
  </si>
  <si>
    <t>染上魔血的草叉</t>
  </si>
  <si>
    <t>粗制兽人反曲弓</t>
  </si>
  <si>
    <t>兽人弩</t>
  </si>
  <si>
    <t>兽人萨满的长杖</t>
  </si>
  <si>
    <t>兽人萨满的腿骨</t>
  </si>
  <si>
    <t>众念战士的头盔</t>
  </si>
  <si>
    <t>众念战士的靴子</t>
  </si>
  <si>
    <t>日光审判</t>
  </si>
  <si>
    <t>夜幕鬼金斧</t>
  </si>
  <si>
    <t>闹鬼的短棒</t>
  </si>
  <si>
    <t>黑夜法典</t>
  </si>
  <si>
    <t>魔鬼骨弓</t>
  </si>
  <si>
    <t>荒坟的埋骨铲</t>
  </si>
  <si>
    <t>古旧的精金头盔</t>
  </si>
  <si>
    <t>午夜侍从的腿甲</t>
  </si>
  <si>
    <t>午夜侍从的盔甲</t>
  </si>
  <si>
    <t>坟场守卫的铁靴</t>
  </si>
  <si>
    <t>风暴月桂叶草裙</t>
  </si>
  <si>
    <t>丛林之王的冠冕</t>
  </si>
  <si>
    <t>荆棘巨剑</t>
  </si>
  <si>
    <t>环齿</t>
  </si>
  <si>
    <t>原始狩猎长弓</t>
  </si>
  <si>
    <t>食物链</t>
  </si>
  <si>
    <t>蜘蛛甲壳</t>
  </si>
  <si>
    <t>鼠人披风</t>
  </si>
  <si>
    <t>洞穴丝织</t>
  </si>
  <si>
    <t>不稳定的鼠人火枪</t>
  </si>
  <si>
    <t>邃域王冠</t>
  </si>
  <si>
    <t>淘金者的铲子</t>
  </si>
  <si>
    <t>水主之鳞护腿</t>
  </si>
  <si>
    <t>杀人鲸靴</t>
  </si>
  <si>
    <t>怒浪鲟鱼</t>
  </si>
  <si>
    <t>诱骗者</t>
  </si>
  <si>
    <t>雪原狩猎矛</t>
  </si>
  <si>
    <t>猎人的雪原靴</t>
  </si>
  <si>
    <t>寒铁重剑</t>
  </si>
  <si>
    <t>极寒穿刺</t>
  </si>
  <si>
    <t>极寒松针</t>
  </si>
  <si>
    <t>狗头人的火剑</t>
  </si>
  <si>
    <t>恶土践行者</t>
  </si>
  <si>
    <t>斯凯洛海姆先遣者战斧</t>
  </si>
  <si>
    <t>遗落龙裔之弓</t>
  </si>
  <si>
    <t>旅者的风衣</t>
  </si>
  <si>
    <t>精致猎刀</t>
  </si>
  <si>
    <t>落樱纷飞</t>
  </si>
  <si>
    <t>亚罕的罪染长剑</t>
  </si>
  <si>
    <t>矮人的煮锅</t>
  </si>
  <si>
    <t>矮人弩</t>
  </si>
  <si>
    <t>精金战锤</t>
  </si>
  <si>
    <t>保密试作品HC-03</t>
  </si>
  <si>
    <t>荆棘头冠</t>
  </si>
  <si>
    <t>林地突袭护腿</t>
  </si>
  <si>
    <t>森林绘本</t>
  </si>
  <si>
    <t>自然法杖</t>
  </si>
  <si>
    <t>生命叶青</t>
  </si>
  <si>
    <t>大漠行者披风</t>
  </si>
  <si>
    <t>陨铁短锤</t>
  </si>
  <si>
    <t>仙人球</t>
  </si>
  <si>
    <t>千华切无祭 ＆【噬身妖刀赤焱砂】</t>
  </si>
  <si>
    <t>魔缎的长裤</t>
  </si>
  <si>
    <t>妖精的长杖</t>
  </si>
  <si>
    <t>恶作剧之杖</t>
  </si>
  <si>
    <t>祝圣妖精大弓</t>
  </si>
  <si>
    <t>魔女的筒靴</t>
  </si>
  <si>
    <t>深黯之邀的斗篷</t>
  </si>
  <si>
    <t>女巫的猎弓</t>
  </si>
  <si>
    <t>萤火</t>
  </si>
  <si>
    <t>腐败</t>
  </si>
  <si>
    <t>兽人猎手之证</t>
  </si>
  <si>
    <t>侦查兽人的小砍砍</t>
  </si>
  <si>
    <t>大只佬的贼拉牛棒槌</t>
  </si>
  <si>
    <t>狂风松针</t>
  </si>
  <si>
    <t>极夜破誓的亡契</t>
  </si>
  <si>
    <t>破誓者</t>
  </si>
  <si>
    <t>耀斑审判：Ecl-477-01</t>
  </si>
  <si>
    <t>审判阵列：Ecl-94-D3</t>
  </si>
  <si>
    <t>龙赫汲血长杖</t>
  </si>
  <si>
    <t>显赫汲血断杖</t>
  </si>
  <si>
    <t>超压赫耀之踏</t>
  </si>
  <si>
    <t>显赫热腔之踏</t>
  </si>
  <si>
    <t>无妄切 修罗</t>
  </si>
  <si>
    <t>无妄切 庇厄</t>
  </si>
  <si>
    <t>修罗的般若面</t>
  </si>
  <si>
    <t>修罗的大将具足盔</t>
  </si>
  <si>
    <t>恶食将军的大铠</t>
  </si>
  <si>
    <t>嗟怨人斩的佩楯</t>
  </si>
  <si>
    <t>暴食胴丸</t>
  </si>
  <si>
    <t>怒斩佩楯</t>
  </si>
  <si>
    <t xml:space="preserve">0、劣质
1、普通
2、精良
3、稀有
4、史诗
5、传说
</t>
    <phoneticPr fontId="1" type="noConversion"/>
  </si>
  <si>
    <t>普通装备被动</t>
    <phoneticPr fontId="1" type="noConversion"/>
  </si>
  <si>
    <t>普通攻击伤害+0.05</t>
    <phoneticPr fontId="1" type="noConversion"/>
  </si>
  <si>
    <t>普通攻击伤害+0.06</t>
    <phoneticPr fontId="1" type="noConversion"/>
  </si>
  <si>
    <t>普通攻击伤害+0.03</t>
    <phoneticPr fontId="1" type="noConversion"/>
  </si>
  <si>
    <t>史诗装备被动</t>
    <phoneticPr fontId="1" type="noConversion"/>
  </si>
  <si>
    <t>每次受到攻击，有5%概率获得法力值回复速度+20%，持续10s，可以叠加无上限。</t>
    <phoneticPr fontId="1" type="noConversion"/>
  </si>
  <si>
    <t>生命值上限+0.2</t>
    <phoneticPr fontId="1" type="noConversion"/>
  </si>
  <si>
    <t>每隔2s，检测一次，损失2％的最大生命值，2s内获得0.1的普通攻击加成提升</t>
    <phoneticPr fontId="1" type="noConversion"/>
  </si>
  <si>
    <t>列13</t>
  </si>
  <si>
    <t>装备介绍</t>
    <phoneticPr fontId="1" type="noConversion"/>
  </si>
  <si>
    <t>不导出</t>
    <phoneticPr fontId="1" type="noConversion"/>
  </si>
  <si>
    <t>每次受到伤害，获得一层庇护(增加1%物理防御、1%能量防御)最高获得20层，持续5s。</t>
    <phoneticPr fontId="1" type="noConversion"/>
  </si>
  <si>
    <t>受到伤害后瞬间提升40％的物理、能量防御加成，持续10秒。冷却40秒</t>
    <phoneticPr fontId="1" type="noConversion"/>
  </si>
  <si>
    <t>每5秒检测生命值，高于90%获得5秒10％的总伤害减免。</t>
    <phoneticPr fontId="1" type="noConversion"/>
  </si>
  <si>
    <t>生命偷取倍率: +8%</t>
  </si>
  <si>
    <t>耐力值恢复+0.2(%)</t>
    <phoneticPr fontId="1" type="noConversion"/>
  </si>
  <si>
    <t>普通攻击伤害+0.1</t>
    <phoneticPr fontId="1" type="noConversion"/>
  </si>
  <si>
    <t>攻击时15%概率获得审判(获得8%总伤害加成)效果持续2秒，出现效果后，冷却6秒</t>
    <phoneticPr fontId="1" type="noConversion"/>
  </si>
  <si>
    <t>每造成4次普攻伤害，下一次攻击将触发连击(额外造成一次80%总物理面板伤害)效果,冷却5秒</t>
  </si>
  <si>
    <t>每30秒获得15秒的物理伤害百分比加成15%</t>
    <phoneticPr fontId="1" type="noConversion"/>
  </si>
  <si>
    <t>物理穿透+0.14</t>
    <phoneticPr fontId="1" type="noConversion"/>
  </si>
  <si>
    <t>你的生命值低于50%时，增加20％物理穿透，低于10％时，额外增加35％的物理穿透</t>
    <phoneticPr fontId="1" type="noConversion"/>
  </si>
  <si>
    <t>物理穿透+0.2</t>
    <phoneticPr fontId="1" type="noConversion"/>
  </si>
  <si>
    <t>每次普攻造成伤害有30概率获得3秒烈阳(物理伤害百分比加成10%)效果，冷却8秒</t>
    <phoneticPr fontId="1" type="noConversion"/>
  </si>
  <si>
    <t>每3秒检测，耐力值大于90%时暴击率+1，持续1秒</t>
    <phoneticPr fontId="1" type="noConversion"/>
  </si>
  <si>
    <t>每30秒，获得10秒8%暴击率加成以及20%能量穿透</t>
    <phoneticPr fontId="1" type="noConversion"/>
  </si>
  <si>
    <t>普通攻击伤害+0.2</t>
    <phoneticPr fontId="1" type="noConversion"/>
  </si>
  <si>
    <t>你的普攻每次命中同一个目标都会增加0.05的普攻伤害，最高0.4，命中间隔超过2秒则会重置</t>
    <phoneticPr fontId="1" type="noConversion"/>
  </si>
  <si>
    <t>每使用3次技能，获得1秒的100%暴击率以及30%的能量穿透,该触发效果冷却时间6秒</t>
    <phoneticPr fontId="1" type="noConversion"/>
  </si>
  <si>
    <t>每使用3次技能，获得1秒的100%暴击率以及能量穿透+30(%),该触发效果冷却时间6秒</t>
    <phoneticPr fontId="1" type="noConversion"/>
  </si>
  <si>
    <t>你获得等同于你生命偷取概率百分比的能量伤害百分比</t>
  </si>
  <si>
    <t>生命偷取概率+0.12</t>
    <phoneticPr fontId="1" type="noConversion"/>
  </si>
  <si>
    <t>普攻每命中一次目标对其附加1层破誓(第4层时造成150%总能量面板伤害)效果,冷却8秒</t>
    <phoneticPr fontId="1" type="noConversion"/>
  </si>
  <si>
    <t>击杀目标后，总伤害加成+0.08，持续6秒</t>
    <phoneticPr fontId="1" type="noConversion"/>
  </si>
  <si>
    <t>生命偷取概率+0.05</t>
    <phoneticPr fontId="1" type="noConversion"/>
  </si>
  <si>
    <t>移动速度+10%,暴击率+5%</t>
  </si>
  <si>
    <t>普攻有30％的概率对目标造成持续2秒总伤害减免-0.1的效果</t>
    <phoneticPr fontId="1" type="noConversion"/>
  </si>
  <si>
    <t>总伤害减免+0.06</t>
    <phoneticPr fontId="1" type="noConversion"/>
  </si>
  <si>
    <t>耐力值上限+0.12(%)</t>
    <phoneticPr fontId="1" type="noConversion"/>
  </si>
  <si>
    <t>技能治疗效果+20%(不包括药水道具)</t>
  </si>
  <si>
    <t>脉石战斧</t>
    <phoneticPr fontId="1" type="noConversion"/>
  </si>
  <si>
    <t>普攻命中时30%概率获得3秒多重射击(普通攻击时额外附带80%总面板伤害),冷却8秒</t>
    <phoneticPr fontId="1" type="noConversion"/>
  </si>
  <si>
    <t>传说装备被动</t>
    <phoneticPr fontId="1" type="noConversion"/>
  </si>
  <si>
    <t>重击伤害+100%,改变重击效果</t>
    <phoneticPr fontId="1" type="noConversion"/>
  </si>
  <si>
    <t>技能造成伤害后，获得3秒内普攻伤害增加10％的效果</t>
    <phoneticPr fontId="1" type="noConversion"/>
  </si>
  <si>
    <t>玩家的技能与普攻对同一目标皆造成3次伤害后，玩家将获得【千华岩流】的buff，持续至脱离战斗或切换武器。
【千华岩流】：武器外观从千华切无祭 切换为【噬身妖刀赤焱砂】获得10％的暴击率提升、10％全伤害提升，以及50％的吸血概率，但每秒会损失10％的生命值</t>
    <phoneticPr fontId="1" type="noConversion"/>
  </si>
  <si>
    <t>每次受到伤害都有10％的概率获得10秒法力值回复基数+20%</t>
    <phoneticPr fontId="1" type="noConversion"/>
  </si>
  <si>
    <t>每5秒检测一次，生命值低于10%时获得30秒1%生命恢复百分比，并获得持续8秒的【堕落】buff，该触发效果冷却时间10分钟。
【堕落】：获得20％的暴击率以及20％的总伤害加成</t>
    <phoneticPr fontId="1" type="noConversion"/>
  </si>
  <si>
    <t>生命偷取概率+5%，生命偷取倍率+10%</t>
    <phoneticPr fontId="1" type="noConversion"/>
  </si>
  <si>
    <t>耐力值恢复+0.5(%)</t>
    <phoneticPr fontId="1" type="noConversion"/>
  </si>
  <si>
    <t>受到攻击后，1秒内普攻将附加一次基于最大生命值50%的自适应攻击</t>
    <phoneticPr fontId="1" type="noConversion"/>
  </si>
  <si>
    <t>生命偷取倍率+0.08</t>
    <phoneticPr fontId="1" type="noConversion"/>
  </si>
  <si>
    <t>受到攻击时，反射基于你最大HP的10％数值的真实伤害于攻击方，冷却3秒</t>
    <phoneticPr fontId="1" type="noConversion"/>
  </si>
  <si>
    <t>每5秒检测，生命低于40%时，获得3秒20％的总伤害减免，冷却30秒</t>
  </si>
  <si>
    <t>目标生命低于10%时，自身获得5秒总伤害加成5%，冷却10秒</t>
    <phoneticPr fontId="1" type="noConversion"/>
  </si>
  <si>
    <t>每3秒检测，耐力值大于80%时获得1秒100%暴击率</t>
  </si>
  <si>
    <t>耐力值恢复+30%，最大耐力+20%</t>
  </si>
  <si>
    <t>生命值上限+0.16(%)</t>
    <phoneticPr fontId="1" type="noConversion"/>
  </si>
  <si>
    <t>每次受到伤害，恢复2％最大生命值，冷却2秒</t>
  </si>
  <si>
    <t>每次普攻造成伤害有30概率获得3秒烈阳(物理伤害百分比加成10%)效果，冷却8秒</t>
  </si>
  <si>
    <t>你的暴击伤害面板增加等同于你物理穿透面板的数值。</t>
  </si>
  <si>
    <t>你的物理防御增加等同于总能量防御20％的数值</t>
    <phoneticPr fontId="1" type="noConversion"/>
  </si>
  <si>
    <t>每造成4次普攻伤害，下一次攻击将触发连击(额外造成一次80%总物理面板伤害)效果,冷却5秒</t>
    <phoneticPr fontId="1" type="noConversion"/>
  </si>
  <si>
    <t>对生命值低于50％的目标攻击时触发一次100%总能量伤害倍率的伤害，冷却4秒</t>
    <phoneticPr fontId="1" type="noConversion"/>
  </si>
  <si>
    <t>每5秒检测生命高于90%获得10％的总伤害减免。</t>
    <phoneticPr fontId="1" type="noConversion"/>
  </si>
  <si>
    <t>介绍：“大人，时代变了”。这是一把血脉矮人氏族监制的【试作泛用型对有机生命体便携式歼灭兵器：手持加农炮（HC）】，原理是通过扣动击发装置从武器结构发射投射物精准打击生物的弱点部位造成有效停止力，比起传统的弓弩具有更高效的打击面。</t>
  </si>
  <si>
    <t>介绍：极夜破誓者的佩剑，亚罕与幽域亲王的血契便寄宿在这把剑中。每伴随着击退异界军队，与他们相关的存在便会迅速从世间抹去，想要在此之前握住这把剑更是天方夜谭，更何况——你要如何才能击退极夜破誓者呢。</t>
  </si>
  <si>
    <t>0、匕首   1、轻剑
2、短锤   3、刀
4、战斧   5、月刃
6、长枪   7、重剑
8、长弓   9、短弓
10、枪械   11、长杖
12、短杖 13、头盔
14、胸甲 15、护腿
16、靴子</t>
    <phoneticPr fontId="1" type="noConversion"/>
  </si>
  <si>
    <t>脉石战斧</t>
  </si>
  <si>
    <t>它肆意撕咬丛林中的一切，它轻松切割前行者的阻隔</t>
  </si>
  <si>
    <t>由阴暗的角落发动突然袭击，注入毒素后静待对方失去生机</t>
  </si>
  <si>
    <t>本该死亡的它却意外接触了怒浪结晶，水元素在那一刻涌向它的身体，原本暗淡的鱼鳞下逐渐泛起微光……</t>
  </si>
  <si>
    <t>深海中的一缕亮光，会是沉船中的宝藏吗？</t>
  </si>
  <si>
    <t>于寒结晶附近采集的冰刺，比寒铁矿更加寒冷，逐渐凝结着四周的物体，因此不得不在握把处附加结霜草，用以吸收寒气避免冻伤。</t>
  </si>
  <si>
    <t>在恶劣的雪原中，针叶树依然顽强生存。在冰元素的加持下，尖锐的松针更是获得了十分强大的穿透力。</t>
  </si>
  <si>
    <t>这是斯凯洛海姆先遣队的强敌——斯凯洛海姆恶魔的巨大战斧，就算像是恶魔那般的存在也不是所有个体都有资格带上这把武器，也就是说：你击败了他们之中的佼佼者。</t>
  </si>
  <si>
    <t>短暂生命的消逝，已然催生新的生机。</t>
  </si>
  <si>
    <t>极夜破誓者幻影手里的长剑，在两界交错之中，这把剑的实体难以具现，但恰好如此，这把半灵体的长剑能产生物理性质以外的打击效果。</t>
  </si>
  <si>
    <t>重量极高的战斧，岩元素使其散发出厚重的气场，胆气不足的人仅是面对它便会失去斗志。</t>
  </si>
  <si>
    <t>以精金制成双锤，在钝器削弱装甲的效果之外增加了破魔属性，使其对魔法与一般装甲均具有不错的效果</t>
  </si>
  <si>
    <t>在自然法杖的设计上镶嵌了奇异的叶青石，提高了魔力</t>
  </si>
  <si>
    <t>坚硬到锤击也不会损坏的神奇仙人球。</t>
  </si>
  <si>
    <t>在黑夜状态下，发光的剑身使你更加瞩目，偏斜的发光部分也将使对手误判你的剑身大小与位置。</t>
  </si>
  <si>
    <t>使用者的力量将被剧毒结晶不断汲取，并被腐变宝玉聚集后提供给匕首，使其之后的一击威力提升。</t>
  </si>
  <si>
    <t>针叶树是应付恶劣自然的专家，在风元素的加持下，本就尖锐的松针具备了更快的速度。</t>
  </si>
  <si>
    <t>技能伤害加成+0.05</t>
  </si>
  <si>
    <t>技能伤害加成+0.06</t>
  </si>
  <si>
    <t>技能伤害加成+0.12</t>
  </si>
  <si>
    <t>技能伤害加成+0.1</t>
  </si>
  <si>
    <t>释放技能后，获得3秒8%技能伤害加成加成以及10%暴击伤害</t>
  </si>
  <si>
    <t>技能伤害加成+0.16</t>
  </si>
  <si>
    <t>每次造成技能伤害加成有10％的几率赋予自身6秒【染邪】效果【染邪】：每秒回复最大生命值的2％，技能伤害加成提升30％</t>
  </si>
  <si>
    <t>触发后冷却4秒。释放技能后获得2秒普攻伤害加成30%，技能伤害加成减少30％。进行普攻后，获得2秒普攻伤害减少30％，技能伤害加成增加30%</t>
  </si>
  <si>
    <t>造成技能伤害加成后，下一次的攻击普攻伤害增加40％技能伤害加成减少30％。造成普攻伤害后，下一次的攻击普攻伤害减少30％技能伤害加成增加40％</t>
  </si>
  <si>
    <t>普攻与技能伤害加成皆造成至少3次时，回复最大MP的40％</t>
  </si>
  <si>
    <t>技能伤害加成+0.2</t>
  </si>
  <si>
    <t>释放终结技后，获得【极赫龙血】buff，持续6秒【极赫龙血】：总生命-40%，+50％生命偷取概率，+20％技能伤害加成</t>
  </si>
  <si>
    <t>耐力值+20</t>
  </si>
  <si>
    <t>生命值提升百分比+0.05</t>
  </si>
  <si>
    <t>物理伤害提升百分比+0.1(%)</t>
  </si>
  <si>
    <t>你普攻造成伤害时有10%对敌方单位5s内每秒受到攻击者额外物理伤害提升百分比力4％的伤害，</t>
  </si>
  <si>
    <t>物理伤害提升百分比比例+0.3</t>
  </si>
  <si>
    <t>物理伤害提升百分比+10(%)</t>
  </si>
  <si>
    <t>物理伤害提升百分比+0.1</t>
    <phoneticPr fontId="1" type="noConversion"/>
  </si>
  <si>
    <t>物理伤害提升百分比+0.08</t>
    <phoneticPr fontId="1" type="noConversion"/>
  </si>
  <si>
    <t>你每次普攻造成伤害都有10％的概率使对方承受3秒的【神经毒素】
【神经毒素】：每秒受到攻击者额外能量伤害提升百分比力4％的伤害。</t>
  </si>
  <si>
    <t>能量伤害提升百分比+0.1</t>
    <phoneticPr fontId="1" type="noConversion"/>
  </si>
  <si>
    <t>法力值+0.3(%)</t>
    <phoneticPr fontId="1" type="noConversion"/>
  </si>
  <si>
    <t>法力值+0.08(%)</t>
    <phoneticPr fontId="1" type="noConversion"/>
  </si>
  <si>
    <t>法力值+0.12(%)</t>
    <phoneticPr fontId="1" type="noConversion"/>
  </si>
  <si>
    <t>平原行者:1</t>
    <phoneticPr fontId="1" type="noConversion"/>
  </si>
  <si>
    <t>精金大锅:1</t>
    <phoneticPr fontId="1" type="noConversion"/>
  </si>
  <si>
    <t>林地突袭护腿</t>
    <phoneticPr fontId="1" type="noConversion"/>
  </si>
  <si>
    <t>生命值提升百分比+0.06</t>
    <phoneticPr fontId="1" type="noConversion"/>
  </si>
  <si>
    <t>普通被动文案</t>
    <phoneticPr fontId="1" type="noConversion"/>
  </si>
  <si>
    <t>史诗被动文案</t>
    <phoneticPr fontId="1" type="noConversion"/>
  </si>
  <si>
    <t>传说被动文案</t>
    <phoneticPr fontId="1" type="noConversion"/>
  </si>
  <si>
    <t>在平原类生物群系时，获得速度1</t>
  </si>
  <si>
    <t>若生命低于40%受到伤害时立即获得4秒的总伤害减免0.3，冷却1分钟</t>
  </si>
  <si>
    <t>物理伤害提升百分比+0.06</t>
    <phoneticPr fontId="1" type="noConversion"/>
  </si>
  <si>
    <t>能量伤害提升百分比+0.06</t>
    <phoneticPr fontId="1" type="noConversion"/>
  </si>
  <si>
    <t>追猎</t>
  </si>
  <si>
    <t>击杀目标后，获得5％的总伤害加成，持续6秒</t>
  </si>
  <si>
    <t>侦察者:1</t>
    <phoneticPr fontId="1" type="noConversion"/>
  </si>
  <si>
    <t>沙漠行者:1</t>
    <phoneticPr fontId="1" type="noConversion"/>
  </si>
  <si>
    <t>在沙漠类生物群系时，获得速度1</t>
  </si>
  <si>
    <t>普攻命中有10％的概率附加一次20%物理伤害</t>
  </si>
  <si>
    <t>受到伤害，恢复1％最大生命值。冷却2秒</t>
  </si>
  <si>
    <t>浴血:1</t>
    <phoneticPr fontId="1" type="noConversion"/>
  </si>
  <si>
    <t>物理伤害提升百分比+0.2</t>
    <phoneticPr fontId="1" type="noConversion"/>
  </si>
  <si>
    <t>能量伤害提升百分比+0.2</t>
    <phoneticPr fontId="1" type="noConversion"/>
  </si>
  <si>
    <t>物理伤害提升百分比+0.16</t>
    <phoneticPr fontId="1" type="noConversion"/>
  </si>
  <si>
    <t>能量伤害提升百分比+0.14</t>
    <phoneticPr fontId="1" type="noConversion"/>
  </si>
  <si>
    <t>法力值回复速率-0.5(%)</t>
    <phoneticPr fontId="1" type="noConversion"/>
  </si>
  <si>
    <t>生命值提升百分比+0.2</t>
    <phoneticPr fontId="1" type="noConversion"/>
  </si>
  <si>
    <t>耐力值回复+0.3(%)</t>
    <phoneticPr fontId="1" type="noConversion"/>
  </si>
  <si>
    <t>生命值提升百分比+0.3</t>
    <phoneticPr fontId="1" type="noConversion"/>
  </si>
  <si>
    <t>生命值提升百分比+0.25</t>
    <phoneticPr fontId="1" type="noConversion"/>
  </si>
  <si>
    <t>能量攻击转化率大幅提升，减少30%法力恢复效率</t>
  </si>
  <si>
    <t>子午:1</t>
    <phoneticPr fontId="1" type="noConversion"/>
  </si>
  <si>
    <t>愈战愈勇:1</t>
    <phoneticPr fontId="1" type="noConversion"/>
  </si>
  <si>
    <t>宿魔增幅:1</t>
    <phoneticPr fontId="1" type="noConversion"/>
  </si>
  <si>
    <t>刺骨:1</t>
    <phoneticPr fontId="1" type="noConversion"/>
  </si>
  <si>
    <t>先祖血脉:1</t>
    <phoneticPr fontId="1" type="noConversion"/>
  </si>
  <si>
    <t>层林庇护:1</t>
    <phoneticPr fontId="1" type="noConversion"/>
  </si>
  <si>
    <t>+20%自身生命恢复基数,治疗效果+20%</t>
  </si>
  <si>
    <t>大恶戏:1</t>
    <phoneticPr fontId="1" type="noConversion"/>
  </si>
  <si>
    <t>龙血脉冲:1</t>
    <phoneticPr fontId="1" type="noConversion"/>
  </si>
  <si>
    <t>侵略如火:1</t>
    <phoneticPr fontId="1" type="noConversion"/>
  </si>
  <si>
    <t>残余消化:1</t>
    <phoneticPr fontId="1" type="noConversion"/>
  </si>
  <si>
    <t>释厄染邪:1</t>
    <phoneticPr fontId="1" type="noConversion"/>
  </si>
  <si>
    <t>超大恶戏:1</t>
    <phoneticPr fontId="1" type="noConversion"/>
  </si>
  <si>
    <t>死途远征:1</t>
    <phoneticPr fontId="1" type="noConversion"/>
  </si>
  <si>
    <t>千华岩流:1</t>
    <phoneticPr fontId="1" type="noConversion"/>
  </si>
  <si>
    <t>极赫龙血:1</t>
    <phoneticPr fontId="1" type="noConversion"/>
  </si>
  <si>
    <t>第六魔王:1</t>
    <phoneticPr fontId="1" type="noConversion"/>
  </si>
  <si>
    <t xml:space="preserve">       他疲惫地走进店铺，把皮包扔在桌上。老板照常停下手里的活，移步到他身边，开始在包里翻找起来。
        一根蒙尘的魔杖、一柄锈迹斑斑战斧，还有一张几乎快要折断的弓。
        老板没有多问，把它们一件件摆到炉子旁，又拿出了矿石和钱币，他问：“又是老样子？”
        剑士只是说：“不，它们修好后就都归你了，还有这个也是。”他把背上那柄短剑也一起放了下来。
        老铁匠从鼻子里哼了一口气，说：“这些东西哪怕再怎么修都回不到最开始的样子，只会被丢在角落里吃灰。”他啐在掌心啐了一口，用力鼓起了风箱。
        他站在那，抬头看了看天上的月亮，慢慢被黑云笼住。
        “是啊，我们也是这样。”
         他消失在了无边的夜色之中，再也没人见过他，就仿佛他们从没存在过。</t>
    <phoneticPr fontId="1" type="noConversion"/>
  </si>
  <si>
    <t xml:space="preserve">        面前站着的是一位高大威猛的男子，他不由得警戒起来。
        战士却显得很轻松：“你就是那个追杀恶魔的小子？我的队伍刚好缺个人，我看啊，就你了。”
剑士看了看他的武器，原本应当光洁的白铁战斧不知是何种原因而变得锈迹斑斑。
        “就靠你这把生锈的斧子能砍得动那些东西吗？
        “你那把短小的剑不也行吗？”
        战士哈哈大笑着拍了拍剑士的肩膀，险些让他摔了一跤。
        “放心吧，我觉得我们会很合得来的。”战士带着他回了营地。
        他的另外两名队友分别是，一位无家可归的猎人，还有一位被赶出学府的法学者。那一天他依稀记得自己和他们说了很多话。
        直到战士一把高举酒杯：“我们肯定会名留青史的，朋友们！”</t>
  </si>
  <si>
    <t xml:space="preserve">        瞄准、屏息、放箭。就像是与生俱来的天赋。
        瞄准、屏息、放箭。这一个动作他已经重复了成千上万次。
        在这个世界上，还没有活物能逃过他的眼睛——他是如此相信的。
      夜色渐深。
        科林警告他要多备两把武器，以防止意外发生。莱恩只是笑着摇头，这把弓足以将他们的后背交给他。
        而阿特拉斯又在他耳边念叨着古怪的问题。明明那只是普通的林中故事，从他口中却变了味。
        以往这个时候莱恩会为他解释，可今天不太一样。
        树林里的风变了，听不见那些生物活动的动静，只觉得诡异。
        不对劲，这是他的第一个念头。
        他大喊：“有敌袭！”接着弯弓搭箭。
        瞄准、屏息、放箭。用他那一如既往的迅捷与冷酷射向那道冲他而来的虚影。</t>
  </si>
  <si>
    <t xml:space="preserve">       刚刚到底发生了什么？
        阿特拉斯从昏厥中清醒过来，惊惧的嘶吼声不断传入耳中。
        他终于是彻底明白过来。之前怎么没想过，凭什么我们觉得自己才是猎手？
       血浆模糊了的视线里，断臂科林跪倒在莱恩残破的躯体旁，而自己正被一只手拖进深林之中。
        他们被反将了一军，魔典与法杖都在恶鬼的咒焰下燃烧着，而他只剩下了那根自己初学者时制作的魔杖。
      阿特拉斯颤抖着，嘴唇吐露可怕的言语，混乱狂暴的能量被他含在口中。那摩多之言的毁灭之力，在瞬息间喷发出来。
        被火焰彻底吞噬前，阿特拉斯看见了他斩下那被重创的恶魔的头颅……
         “我说了吧，我会证明的！我会证明给他们看！”
        他狂笑着与不计其数的鬼魂一同化为了灰烬。</t>
  </si>
  <si>
    <t>介绍：耀斑构装的核心零件组建而成。
弗雷索拉达被制作出来的目的早已无从考究，这台堪称行星兵器的巨物是否仍在执行他最初的命令呢......
【“耀斑”终于动起来了，我们终于可以随时接受没有太阳的明日了，这台伟大的发明将会为这个大陆带来新生】</t>
  </si>
  <si>
    <t>介绍：此杖封印着末世黑龙的心脉。
不得不说，这个时代的状况真的堪称奇迹——毕竟曾经的古历史每次说到末世黑龙时候就会断掉文明的痕迹。
【“黑龙的出现代表了文明的毁灭，而毁灭的文明也往往承载着新生，这样说的话，黑龙似乎也孕育了新的文明......”】</t>
  </si>
  <si>
    <t>别无他用，普普通通的护具</t>
  </si>
  <si>
    <t>一座荒芜的神龛上的无名神祇贡品，因为上锈的原因要使很大劲才能拔出刀身。</t>
  </si>
  <si>
    <t>不是常人能够挥舞的武器，似乎是特制品</t>
  </si>
  <si>
    <t>在那之前，他无法想到自己会与这样的东西战斗</t>
  </si>
  <si>
    <t>劣质的做工，但仍需一定技巧才能使用</t>
  </si>
  <si>
    <t>异于兽人制技的东西，说不上的奇怪</t>
  </si>
  <si>
    <t>其中升腾着诅咒之焰，令人望而生畏</t>
  </si>
  <si>
    <t>出于某种原因，这一次萨满献祭出了自己的“一部分”</t>
  </si>
  <si>
    <t>战士的决心能并不能使自己刀枪不入，但他们依然死的壮烈</t>
  </si>
  <si>
    <t>人挡斩人，鬼挡斩鬼</t>
  </si>
  <si>
    <t>每次挥舞都会附加某个顽皮灵魂的力量，被砸到会有“亿”点点疼</t>
  </si>
  <si>
    <t>漆黑书皮下的纸张记录着隐晦的词句</t>
  </si>
  <si>
    <t>制由恶魔髌骨，咯吱作响</t>
  </si>
  <si>
    <t>它埋葬了最后一位使用者</t>
  </si>
  <si>
    <t>灰尘之下并无半点锈色</t>
  </si>
  <si>
    <t>透露着邪恶的气息</t>
  </si>
  <si>
    <t>有些锈痕，但仍然坚固可靠</t>
  </si>
  <si>
    <t>比牛皮更加坚韧耐磨，一般的铁器也很难破坏</t>
  </si>
  <si>
    <t>强者为尊，胜者为王，丛林法则的至高体现便于此而已</t>
  </si>
  <si>
    <t>被遗忘在污水池里，但依旧闪亮</t>
  </si>
  <si>
    <t>雪地居民用来捕杀猎物的武器，当然也能用来杀死魔物</t>
  </si>
  <si>
    <t>你纵深雪原腹地的可靠伙伴</t>
  </si>
  <si>
    <t>结实耐用，符合狗头人的习惯</t>
  </si>
  <si>
    <t>可以用来御寒，但千万别沾水</t>
  </si>
  <si>
    <t>剥皮拆骨不在话下，但可别用它来砍柴</t>
  </si>
  <si>
    <t>”所以，路在哪里？“</t>
  </si>
  <si>
    <t>穿透性极强，适合用来狩猎难以控制的大型动物</t>
  </si>
  <si>
    <t>自然之歌，恒久悠远；自然之曲，蜿蜒无羁</t>
  </si>
  <si>
    <t>硬度极高，能够轻松破开精铁板甲</t>
  </si>
  <si>
    <t>你问女巫怎么拉弓？当然是用魔法</t>
  </si>
  <si>
    <t>别看它很小，其实优点真不少</t>
  </si>
  <si>
    <t>可惜你并不是彼得帕克</t>
  </si>
  <si>
    <t>不不，它不会让你隐形，但可以让你低着头走一天的路</t>
  </si>
  <si>
    <t>龙是刀枪不入的，但他们也有蜕皮的时候。靠水生的渔夫们自然不会放过这大捞一笔的机会。</t>
  </si>
  <si>
    <t>舒不舒适另说，但绝对够拉风</t>
  </si>
  <si>
    <t>天国近了，你们应当改悔</t>
  </si>
  <si>
    <t>生命之力氤氲其中</t>
  </si>
  <si>
    <t>为你遮挡风沙，是你穿越大漠的勇气来源</t>
  </si>
  <si>
    <t>穿上去轻便得体，深受广大魔女的喜爱</t>
  </si>
  <si>
    <t>不灵的时候拍一拍</t>
  </si>
  <si>
    <t>为什么魔女都穿筒靴？规矩是这么写的</t>
  </si>
  <si>
    <t>作为除害一方的勇士，这是你应得的嘉奖</t>
  </si>
  <si>
    <t>在砍倒第一万一千四百五十四棵树后，大只佬终于做出了令他满意的武器</t>
  </si>
  <si>
    <t>当炽金的利剑横扫大地，所有邪恶都将无处遁形</t>
  </si>
  <si>
    <t>浓厚的灵魂能量环绕着镰柄，仔细聆听，上面还留有亡者的哀嚎</t>
  </si>
  <si>
    <t>或许在某个世界，恐龙和原始人是生活在一个世界舞台上的</t>
  </si>
  <si>
    <t>你脚踏的不止是大地，还有数千万年演变的过去</t>
  </si>
  <si>
    <t>“嗨嗨，你好！要不要试试鼠人科技？”</t>
  </si>
  <si>
    <t>根据调查显示，绘境每年因溺水死亡的人数远超杀人鲸的杀伤记录。事实上，它们更愿意吃肥美的海豹而不是人肉。</t>
  </si>
  <si>
    <t>“燚”，这是他们对这把武器的称呼。无论在何种环境下，龙炎都会附着在射出的箭矢上，无一例外地灼伤使用者。它的主人消失在那场惨烈战争之后。</t>
  </si>
  <si>
    <t>想要一双兔子耳朵？没问题！不过不包变回来</t>
  </si>
  <si>
    <t>“至尊之冠，驭众之冕”王冠两侧的铭文以远古之言刻印，深深影响着每一个望向它的人，而他们无不确信自己便是这大陆唯一的王。千百年来它都在这一个个枯瘦的头骨上静静等待，那个统御两界者的出现。</t>
  </si>
  <si>
    <t>赤焱于沙海中绽放，热砂中燃尽的一切，都已成为它盛开的铺垫。
刀身寄宿者红龙的意识，它认同你的强大为你效力，但也会在献出力量时吞噬你的躯体。
“红龙是可以说是最残暴的生物了，他们拥有极高的智力，无与伦比的身体能力，但它们在和你交流之前就会把你变成一块儿焦炭”</t>
  </si>
  <si>
    <t>大妖精会穷极一生来制作一副道具，也许是刀剑也许是护甲，也许是一把弓。
大妖精会把它给予自己最赏识的那位勇士，不管与其发生了何种邂逅。
“想要我的宝贝？先和我莉莉叶特比试一下吧！”</t>
  </si>
  <si>
    <t>剑圣修罗的打刀，其上能感受到无尽的怨念，不过握在手上时，这些怨念又似乎非常遥远，就像是来自于另一个时空。
【修罗失去了曾经的一切，孤独一个人来到了完全未知的位面。等等...这些冒险者好像有些似曾相识】</t>
  </si>
  <si>
    <t>不断渗出的寒气使剑身周围缭绕起白雾，同时也增加着它的压迫感。</t>
    <phoneticPr fontId="1" type="noConversion"/>
  </si>
  <si>
    <t>骸骨兜帽</t>
  </si>
  <si>
    <t>骸骨胸甲</t>
  </si>
  <si>
    <t>骸骨护腿</t>
  </si>
  <si>
    <t>骸骨之靴</t>
  </si>
  <si>
    <t>幽影兜帽</t>
  </si>
  <si>
    <t>幽影胸甲</t>
  </si>
  <si>
    <t>幽影护腿</t>
  </si>
  <si>
    <t>幽影之靴</t>
  </si>
  <si>
    <t>冥铁兜帽</t>
  </si>
  <si>
    <t>冥铁胸甲</t>
  </si>
  <si>
    <t>冥铁护腿</t>
  </si>
  <si>
    <t>冥铁之靴</t>
  </si>
  <si>
    <t>亡凡者之盔</t>
  </si>
  <si>
    <t>亡凡者胸甲</t>
  </si>
  <si>
    <t>亡凡者腿甲</t>
  </si>
  <si>
    <t>亡凡者之靴</t>
  </si>
  <si>
    <t>如其名，在手中握住，仿若死者的呼唤，似亡灵之歌。</t>
  </si>
  <si>
    <t>骨其基，于炎谭中锻出，其形如剑。</t>
  </si>
  <si>
    <t>我求超脱凡俗，愿献凡身。若凡身依不足，愿献一切。</t>
  </si>
  <si>
    <t>矢之行若飞鸟之归林，矢所击中，敌人若凋零之叶。</t>
  </si>
  <si>
    <t>甲胄皆以骸骨构，散发死气</t>
  </si>
  <si>
    <t>握于掌中，若闻死者之唤，若亡灵之歌，此时正值大幕之高潮。</t>
  </si>
  <si>
    <t>经炼狱之锤炼，散发恐怖之火焰，欲焚尽一切敌。</t>
  </si>
  <si>
    <t>我欲超脱尘世，愿以死燃此生。</t>
  </si>
  <si>
    <t>引此弓而射，敌皆凋零。</t>
  </si>
  <si>
    <t>由骷髅构，散发蓝光，能使人之存在感消减</t>
  </si>
  <si>
    <t>此时此刻，高潮已毕，感谢诸君观之，谢幕之时已至。</t>
  </si>
  <si>
    <t>魂魄皆为此剑所斩，焚尽无余。</t>
  </si>
  <si>
    <t>燃尽此生，终焉已至。</t>
  </si>
  <si>
    <t>此弓之能，射敌即毙。</t>
  </si>
  <si>
    <t>由无数亡魂所铸，经灵魂锤炼而成甲</t>
  </si>
  <si>
    <t>其骨化杆，魂缠于上，颅依在上，绝望之意化做斧刃。</t>
  </si>
  <si>
    <t>此刃如月牙之曲，幽光熠熠，似藏无尽之暗力</t>
  </si>
  <si>
    <t>令人感之如临天浪之无力。</t>
  </si>
  <si>
    <t>若欲吾屈，先越吾尸，吾坚志不摧，魂永存于世。</t>
  </si>
  <si>
    <t>因果有报，凡用恶行，自有恶果。</t>
  </si>
  <si>
    <t>天地何人知，此地因果报。三千怨在身，三千枯骨在。</t>
  </si>
  <si>
    <t>汝求脱凡胎，赐汝恶鬼身。汝求事已成，何必暗忧伤。</t>
  </si>
  <si>
    <t>若一意孤行，勿寻众生伴。</t>
  </si>
  <si>
    <t>若命运不公，吾自抗之，若生路无求，吾愿逐死。</t>
  </si>
  <si>
    <t>吾将封印天下之亡灵，还世间以朗朗乾坤。赐我以幽冥之月，俾我得以行使此权。</t>
  </si>
  <si>
    <t>矢出，每带百余亡魂之气，汹涌奔腾，使人感之如身临无尽亡魂之海，渺小无依，淹没其中。</t>
  </si>
  <si>
    <t>吾在地狱待尔，罪魂兮，终焉之时，吾将审判尔，涤荡一切罪咎。</t>
  </si>
  <si>
    <t>不屈傲骨任风霜</t>
  </si>
  <si>
    <t>誓言铭记不曾忘</t>
  </si>
  <si>
    <t>心存善念无恶行</t>
  </si>
  <si>
    <t>独向幽暗破晓光</t>
  </si>
  <si>
    <t>生命偷取概率+10％</t>
  </si>
  <si>
    <t>额外生命值+5*等级</t>
  </si>
  <si>
    <t>额外生命值+5*等级</t>
    <phoneticPr fontId="1" type="noConversion"/>
  </si>
  <si>
    <t>生命偷取概率+5％</t>
  </si>
  <si>
    <t>生命偷取概率+5％</t>
    <phoneticPr fontId="1" type="noConversion"/>
  </si>
  <si>
    <t>生命偷取概率+10％</t>
    <phoneticPr fontId="1" type="noConversion"/>
  </si>
  <si>
    <t>额外生命值+10*等级</t>
  </si>
  <si>
    <t>额外生命值+10*等级</t>
    <phoneticPr fontId="1" type="noConversion"/>
  </si>
  <si>
    <t>生命偷取概率+15％</t>
  </si>
  <si>
    <t>生命偷取概率+15％</t>
    <phoneticPr fontId="1" type="noConversion"/>
  </si>
  <si>
    <t>放终结技时会受到一次损失自身60％最大生命值的伤害，然后获得持续6秒的【终曲】buff。【终曲】：5秒后恢复20％最大生命值。持续期间获得20％暴击几率与20％总伤害加成。</t>
  </si>
  <si>
    <t>放终结技时会受到一次损失自身60％最大生命值的伤害，然后获得持续6秒的【终曲】buff。【终曲】：5秒后恢复20％最大生命值。持续期间获得20％暴击几率与20％总伤害加成。</t>
    <phoneticPr fontId="1" type="noConversion"/>
  </si>
  <si>
    <t>每次对敌人造成普攻伤害时使自己受到持续2秒的【灼心】。并有30％概率使敌人承受2秒的【护甲融毁】buff，【护甲融毁】：能量防御-20％.【灼心】：类似燃烧，每秒受到一次自己最大生命值1％的伤害，不可叠加。</t>
  </si>
  <si>
    <t>每次对敌人造成普攻伤害时使自己受到持续2秒的【灼心】。并有30％概率使敌人承受2秒的【护甲融毁】buff，【护甲融毁】：能量防御-20％.【灼心】：类似燃烧，每秒受到一次自己最大生命值1％的伤害，不可叠加。</t>
    <phoneticPr fontId="1" type="noConversion"/>
  </si>
  <si>
    <t>每次对敌人造成普攻伤害时使自己受到持续2秒的【灼心】。每次受到伤害时，有10％的概率获得持续2秒的【终局】buff.【灼心】：每秒受到一次自己最大生命值1％的伤害，不可叠加。【终局】：暴击率提升80％</t>
  </si>
  <si>
    <t>每次对敌人造成普攻伤害时使自己受到持续2秒的【灼心】。每次受到伤害时，有10％的概率获得持续2秒的【终局】buff.【灼心】：每秒受到一次自己最大生命值1％的伤害，不可叠加。【终局】：暴击率提升80％</t>
    <phoneticPr fontId="1" type="noConversion"/>
  </si>
  <si>
    <t>生命偷取概率+20％</t>
  </si>
  <si>
    <t>生命偷取概率+20％</t>
    <phoneticPr fontId="1" type="noConversion"/>
  </si>
  <si>
    <t>每次对敌人造成普攻伤害时使自己受到持续2秒的【灼心】。并有30％概率使敌人承受2秒的【凋亡】buff，：每秒受到一次自己最大生命值1％的伤害，不可叠加。【凋亡】：物理防御-20％</t>
  </si>
  <si>
    <t>每次对敌人造成普攻伤害时使自己受到持续2秒的【灼心】。并有30％概率使敌人承受2秒的【凋亡】buff，：每秒受到一次自己最大生命值1％的伤害，不可叠加。【凋亡】：物理防御-20％</t>
    <phoneticPr fontId="1" type="noConversion"/>
  </si>
  <si>
    <t>在3秒内受到4次伤害后，获得一个持续3秒的【生者渴求】buff。【生者渴求】：你的暴击伤害增加同等于你生命偷取概率的数值。</t>
  </si>
  <si>
    <t>在3秒内受到4次伤害后，获得一个持续3秒的【生者渴求】buff。【生者渴求】：你的暴击伤害增加同等于你生命偷取概率的数值。</t>
    <phoneticPr fontId="1" type="noConversion"/>
  </si>
  <si>
    <t>在3秒内受到4次伤害后，获得一个持续3秒的【荒坟守卫】buff。【荒坟守卫】：获得同等于你生命偷取概率20％的物理、能量防御。</t>
  </si>
  <si>
    <t>在3秒内受到4次伤害后，获得一个持续3秒的【荒坟守卫】buff。【荒坟守卫】：获得同等于你生命偷取概率20％的物理、能量防御。</t>
    <phoneticPr fontId="1" type="noConversion"/>
  </si>
  <si>
    <t>在3秒内受到3次伤害后，获得一个持续3秒的【冥土征收】buff。【冥土征收】：获得10％的生命偷取概率，但每1.5秒会受到一次对自己造成伤害判定的雷击.</t>
  </si>
  <si>
    <t>在3秒内受到3次伤害后，获得一个持续3秒的【冥土征收】buff。【冥土征收】：获得10％的生命偷取概率，但每1.5秒会受到一次对自己造成伤害判定的雷击.</t>
    <phoneticPr fontId="1" type="noConversion"/>
  </si>
  <si>
    <t>在3秒内受到2次伤害后，获得一个持续2秒的【地狱引擎】buff。【地狱引擎】：移动速度+0.2，但每1.5秒会受到一次对自己造成伤害判定的雷击（预计造成1％最大生命值的伤害）。</t>
  </si>
  <si>
    <t>在3秒内受到2次伤害后，获得一个持续2秒的【地狱引擎】buff。【地狱引擎】：移动速度+0.2，但每1.5秒会受到一次对自己造成伤害判定的雷击（预计造成1％最大生命值的伤害）。</t>
    <phoneticPr fontId="1" type="noConversion"/>
  </si>
  <si>
    <t>额外生命值+12*等级</t>
  </si>
  <si>
    <t>额外生命值+12*等级</t>
    <phoneticPr fontId="1" type="noConversion"/>
  </si>
  <si>
    <t>每次对敌人造成普攻伤害时使自己受到持续2秒的【灼心】。每次受到伤害有5％的概率使自己获得持续5秒的【逢魔】buff.【逢魔】：生命偷取概率+20％，能量攻击+20％【灼心】：每秒受到一次自己最大生命值1％的伤害，不可叠加。</t>
  </si>
  <si>
    <t>每次对敌人造成普攻伤害时使自己受到持续2秒的【灼心】。每次受到伤害有5％的概率使自己获得持续5秒的【逢魔】buff.【逢魔】：生命偷取概率+20％，能量攻击+20％【灼心】：每秒受到一次自己最大生命值1％的伤害，不可叠加。</t>
    <phoneticPr fontId="1" type="noConversion"/>
  </si>
  <si>
    <t>寂灭:1</t>
  </si>
  <si>
    <t>寂灭:1</t>
    <phoneticPr fontId="1" type="noConversion"/>
  </si>
  <si>
    <t>释放终结技时会受到一次损失自身80％最大生命值的伤害，然后获得持续4秒的【寂灭】.【寂灭】：总伤害提升100％,3秒后恢复20％最大生命值。</t>
  </si>
  <si>
    <t>释放终结技时会受到一次损失自身80％最大生命值的伤害，然后获得持续4秒的【寂灭】.【寂灭】：总伤害提升100％,3秒后恢复20％最大生命值。</t>
    <phoneticPr fontId="1" type="noConversion"/>
  </si>
  <si>
    <t>狂涌:1</t>
  </si>
  <si>
    <t>狂涌:1</t>
    <phoneticPr fontId="1" type="noConversion"/>
  </si>
  <si>
    <t>释放终结技时会受到一次损失自身80％最大生命值的伤害，然后获得持续4秒的【狂涌】【狂涌】：暴击率提升80％,3秒后恢复20％最大生命值。</t>
  </si>
  <si>
    <t>释放终结技时会受到一次损失自身80％最大生命值的伤害，然后获得持续4秒的【狂涌】【狂涌】：暴击率提升80％,3秒后恢复20％最大生命值。</t>
    <phoneticPr fontId="1" type="noConversion"/>
  </si>
  <si>
    <t>破魂:1</t>
  </si>
  <si>
    <t>破魂:1</t>
    <phoneticPr fontId="1" type="noConversion"/>
  </si>
  <si>
    <t>释放终结技时会受到一次损失自身80％最大生命值的伤害，然后获得持续4秒的【破魂】【破魂】：能量穿透提升100％,3秒后恢复20％最大生命值。</t>
  </si>
  <si>
    <t>释放终结技时会受到一次损失自身80％最大生命值的伤害，然后获得持续4秒的【破魂】【破魂】：能量穿透提升100％,3秒后恢复20％最大生命值。</t>
    <phoneticPr fontId="1" type="noConversion"/>
  </si>
  <si>
    <t>每损失15％最大生命值，总伤害提升0.02，最高0.08</t>
  </si>
  <si>
    <t>每损失25％最大生命值，能量防御百分比增加5，最高25</t>
  </si>
  <si>
    <t>每损失25％最大生命值，能量防御百分比增加5，最高25</t>
    <phoneticPr fontId="1" type="noConversion"/>
  </si>
  <si>
    <t>每损失25％最大生命值，物理防御百分比增加5，最高15</t>
  </si>
  <si>
    <t>每损失25％最大生命值，物理防御百分比增加5，最高15</t>
    <phoneticPr fontId="1" type="noConversion"/>
  </si>
  <si>
    <t>每损失25％最大生命值，暴击率增加6，最高12</t>
  </si>
  <si>
    <t>每损失25％最大生命值，暴击率增加6，最高12</t>
    <phoneticPr fontId="1" type="noConversion"/>
  </si>
  <si>
    <t>每损失10％最大生命值，总伤害提升0.03，最高0.15。</t>
  </si>
  <si>
    <t>每损失15％最大生命值，能量防御百分比增加7，最高28</t>
  </si>
  <si>
    <t>每损失15％最大生命值，能量防御百分比增加7，最高28</t>
    <phoneticPr fontId="1" type="noConversion"/>
  </si>
  <si>
    <t>每损失25％最大生命力，暴击几率增加12，最高24</t>
  </si>
  <si>
    <t>每损失25％最大生命力，暴击几率增加12，最高24</t>
    <phoneticPr fontId="1" type="noConversion"/>
  </si>
  <si>
    <t>每损失15％最大生命值，物理防御百分比增加7，最高25</t>
  </si>
  <si>
    <t>每损失15％最大生命值，物理防御百分比增加7，最高25</t>
    <phoneticPr fontId="1" type="noConversion"/>
  </si>
  <si>
    <t>额外生命值+14*等级</t>
  </si>
  <si>
    <t>额外生命值+14*等级</t>
    <phoneticPr fontId="1" type="noConversion"/>
  </si>
  <si>
    <t>对生命值百分比高于你的目标造成的伤害提高50％</t>
  </si>
  <si>
    <t>对生命值百分比高于你的目标造成的伤害提高50％</t>
    <phoneticPr fontId="1" type="noConversion"/>
  </si>
  <si>
    <t>能量穿透与最大耐力增加等同于你生命偷取概率50％的数值。</t>
  </si>
  <si>
    <t>能量穿透与最大耐力增加等同于你生命偷取概率50％的数值。</t>
    <phoneticPr fontId="1" type="noConversion"/>
  </si>
  <si>
    <t>命定之死:1</t>
  </si>
  <si>
    <t>命定之死:1</t>
    <phoneticPr fontId="1" type="noConversion"/>
  </si>
  <si>
    <t>自身生命值低于40％时总伤害提升20%</t>
  </si>
  <si>
    <t>自身生命值低于40％时总伤害提升20%</t>
    <phoneticPr fontId="1" type="noConversion"/>
  </si>
  <si>
    <t>每次对敌人造成普攻伤害时使自己受到持续2秒的【灼心】。触发冷却15秒, 受到伤害时，有10％的概率获得持续5秒的【不堪寂寞】buff。【不堪寂寞】：法力回复基数+20%。【灼心】：每秒受到一次自己最大生命值1％的伤害，不可叠加。</t>
  </si>
  <si>
    <t>每次对敌人造成普攻伤害时使自己受到持续2秒的【灼心】。触发冷却15秒, 受到伤害时，有10％的概率获得持续5秒的【不堪寂寞】buff。【不堪寂寞】：法力回复基数+20%。【灼心】：每秒受到一次自己最大生命值1％的伤害，不可叠加。</t>
    <phoneticPr fontId="1" type="noConversion"/>
  </si>
  <si>
    <t>生命值低于90％时，获得持续3秒的【回魂夜】，冷却时间600秒,【回魂夜】：免疫所有伤害，每秒回复5％最大生命值</t>
  </si>
  <si>
    <t>生命值低于90％时，获得持续3秒的【回魂夜】，冷却时间600秒,【回魂夜】：免疫所有伤害，每秒回复5％最大生命值</t>
    <phoneticPr fontId="1" type="noConversion"/>
  </si>
  <si>
    <t>暴击伤害提升同等于你失去生命值百分比的数值。</t>
  </si>
  <si>
    <t>普通攻击伤害+0.05</t>
  </si>
  <si>
    <t>普通攻击伤害+0.06</t>
  </si>
  <si>
    <t>普通攻击伤害+0.03</t>
  </si>
  <si>
    <t>物理伤害提升百分比+0.1</t>
  </si>
  <si>
    <t>能量伤害提升百分比+0.1</t>
  </si>
  <si>
    <t>物理伤害提升百分比+0.08</t>
  </si>
  <si>
    <t>法力值+0.08(%)</t>
  </si>
  <si>
    <t>生命偷取概率+0.05</t>
  </si>
  <si>
    <t>普通攻击伤害+0.1</t>
  </si>
  <si>
    <t>生命值提升百分比+0.06</t>
  </si>
  <si>
    <t>能量伤害提升百分比+0.06</t>
  </si>
  <si>
    <t>平原行者:1</t>
  </si>
  <si>
    <t>物理伤害提升百分比+0.06</t>
  </si>
  <si>
    <t>精金大锅:1</t>
  </si>
  <si>
    <t>侦察者:1</t>
  </si>
  <si>
    <t>法力值+0.12(%)</t>
  </si>
  <si>
    <t>总伤害减免+0.06</t>
  </si>
  <si>
    <t>生命值上限+0.2</t>
  </si>
  <si>
    <t>耐力值上限+0.12(%)</t>
  </si>
  <si>
    <t>沙漠行者:1</t>
  </si>
  <si>
    <t>浴血:1</t>
  </si>
  <si>
    <t>物理伤害提升百分比+0.2</t>
  </si>
  <si>
    <t>物理伤害提升百分比+0.16</t>
  </si>
  <si>
    <t>能量伤害提升百分比+0.2</t>
  </si>
  <si>
    <t>普通攻击伤害+0.2</t>
  </si>
  <si>
    <t>物理穿透+0.14</t>
  </si>
  <si>
    <t>能量伤害提升百分比+0.14</t>
  </si>
  <si>
    <t>法力值回复速率-0.5(%)</t>
  </si>
  <si>
    <t>物理穿透+0.2</t>
  </si>
  <si>
    <t>生命偷取概率+0.12</t>
  </si>
  <si>
    <t>生命值提升百分比+0.2</t>
  </si>
  <si>
    <t>法力值+0.3(%)</t>
  </si>
  <si>
    <t>生命值上限+0.16(%)</t>
  </si>
  <si>
    <t>耐力值回复+0.3(%)</t>
  </si>
  <si>
    <t>生命值提升百分比+0.3</t>
  </si>
  <si>
    <t>生命值提升百分比+0.25</t>
  </si>
  <si>
    <t>你的物理防御增加等同于总能量防御20％的数值</t>
  </si>
  <si>
    <t>击杀目标后，总伤害加成+0.08，持续6秒</t>
  </si>
  <si>
    <t>普攻有30％的概率对目标造成持续2秒总伤害减免-0.1的效果</t>
  </si>
  <si>
    <t>子午:1</t>
  </si>
  <si>
    <t>愈战愈勇:1</t>
  </si>
  <si>
    <t>宿魔增幅:1</t>
  </si>
  <si>
    <t>刺骨:1</t>
  </si>
  <si>
    <t>先祖血脉:1</t>
  </si>
  <si>
    <t>层林庇护:1</t>
  </si>
  <si>
    <t>大恶戏:1</t>
  </si>
  <si>
    <t>龙血脉冲:1</t>
  </si>
  <si>
    <t>侵略如火:1</t>
  </si>
  <si>
    <t>残余消化:1</t>
  </si>
  <si>
    <t>释厄染邪:1</t>
  </si>
  <si>
    <t>超大恶戏:1</t>
  </si>
  <si>
    <t>死途远征:1</t>
  </si>
  <si>
    <t>攻击时15%概率获得审判(获得8%总伤害加成)效果持续2秒，出现效果后，冷却6秒</t>
  </si>
  <si>
    <t>每30秒，获得10秒8%暴击率加成以及20%能量穿透</t>
  </si>
  <si>
    <t>每次受到攻击，有5%概率获得法力值回复速度+20%，持续10s，可以叠加无上限。</t>
  </si>
  <si>
    <t>每隔2s，检测一次，损失2％的最大生命值，2s内获得0.1的普通攻击加成提升</t>
  </si>
  <si>
    <t>你的普攻每次命中同一个目标都会增加0.05的普攻伤害，最高0.4，命中间隔超过2秒则会重置</t>
  </si>
  <si>
    <t>每使用3次技能，获得1秒的100%暴击率以及30%的能量穿透,该触发效果冷却时间6秒</t>
  </si>
  <si>
    <t>每使用3次技能，获得1秒的100%暴击率以及能量穿透+30(%),该触发效果冷却时间6秒</t>
  </si>
  <si>
    <t>每30秒获得15秒的物理伤害百分比加成15%</t>
  </si>
  <si>
    <t>对生命值低于50％的目标攻击时触发一次100%总能量伤害倍率的伤害，冷却4秒</t>
  </si>
  <si>
    <t>你的生命值低于50%时，增加20％物理穿透，低于10％时，额外增加35％的物理穿透</t>
  </si>
  <si>
    <t>每次受到伤害，获得一层庇护(增加1%物理防御、1%能量防御)最高获得20层，持续5s。</t>
  </si>
  <si>
    <t>受到伤害后瞬间提升40％的物理、能量防御加成，持续10秒。冷却40秒</t>
  </si>
  <si>
    <t>普攻每命中一次目标对其附加1层破誓(第4层时造成150%总能量面板伤害)效果,冷却8秒</t>
  </si>
  <si>
    <t>每5秒检测生命值，高于90%获得5秒10％的总伤害减免。</t>
  </si>
  <si>
    <t>每3秒检测，耐力值大于90%时暴击率+1，持续1秒</t>
  </si>
  <si>
    <t>耐力值恢复+0.2(%)</t>
  </si>
  <si>
    <t>每次受到伤害都有10％的概率获得10秒法力值回复基数+20%</t>
  </si>
  <si>
    <t>普攻命中时30%概率获得3秒多重射击(普通攻击时额外附带80%总面板伤害),冷却8秒</t>
  </si>
  <si>
    <t>技能造成伤害后，获得3秒内普攻伤害增加10％的效果</t>
  </si>
  <si>
    <t>生命偷取概率+5%，生命偷取倍率+10%</t>
  </si>
  <si>
    <t>每5秒检测生命高于90%获得10％的总伤害减免。</t>
  </si>
  <si>
    <t>生命偷取倍率+0.08</t>
  </si>
  <si>
    <t>耐力值恢复+0.5(%)</t>
  </si>
  <si>
    <t>千华岩流:1</t>
  </si>
  <si>
    <t>极赫龙血:1</t>
  </si>
  <si>
    <t>第六魔王:1</t>
  </si>
  <si>
    <t>每5秒检测一次，生命值低于10%时获得30秒1%生命恢复百分比，并获得持续8秒的【堕落】buff，该触发效果冷却时间10分钟。
【堕落】：获得20％的暴击率以及20％的总伤害加成</t>
  </si>
  <si>
    <t>重击伤害+100%,改变重击效果</t>
  </si>
  <si>
    <t>玩家的技能与普攻对同一目标皆造成3次伤害后，玩家将获得【千华岩流】的buff，持续至脱离战斗或切换武器。
【千华岩流】：武器外观从千华切无祭 切换为【噬身妖刀赤焱砂】获得10％的暴击率提升、10％全伤害提升，以及50％的吸血概率，但每秒会损失10％的生命值</t>
  </si>
  <si>
    <t>目标生命低于10%时，自身获得5秒总伤害加成5%，冷却10秒</t>
  </si>
  <si>
    <t>受到攻击时，反射基于你最大HP的10％数值的真实伤害于攻击方，冷却3秒</t>
  </si>
  <si>
    <t>受到攻击后，1秒内普攻将附加一次基于最大生命值50%的自适应攻击</t>
  </si>
  <si>
    <t xml:space="preserve">       他疲惫地走进店铺，把皮包扔在桌上。老板照常停下手里的活，移步到他身边，开始在包里翻找起来。
        一根蒙尘的魔杖、一柄锈迹斑斑战斧，还有一张几乎快要折断的弓。
        老板没有多问，把它们一件件摆到炉子旁，又拿出了矿石和钱币，他问：“又是老样子？”
        剑士只是说：“不，它们修好后就都归你了，还有这个也是。”他把背上那柄短剑也一起放了下来。
        老铁匠从鼻子里哼了一口气，说：“这些东西哪怕再怎么修都回不到最开始的样子，只会被丢在角落里吃灰。”他啐在掌心啐了一口，用力鼓起了风箱。
        他站在那，抬头看了看天上的月亮，慢慢被黑云笼住。
        “是啊，我们也是这样。”
         他消失在了无边的夜色之中，再也没人见过他，就仿佛他们从没存在过。</t>
  </si>
  <si>
    <t>不断渗出的寒气使剑身周围缭绕起白雾，同时也增加着它的压迫感。</t>
  </si>
  <si>
    <t>基础物理攻击力</t>
    <phoneticPr fontId="1" type="noConversion"/>
  </si>
  <si>
    <t>基础能量攻击力</t>
    <phoneticPr fontId="1" type="noConversion"/>
  </si>
  <si>
    <t>额外物理攻击力</t>
    <phoneticPr fontId="1" type="noConversion"/>
  </si>
  <si>
    <t>额外能量攻击力</t>
    <phoneticPr fontId="1" type="noConversion"/>
  </si>
  <si>
    <t>基础物理防御力</t>
    <phoneticPr fontId="1" type="noConversion"/>
  </si>
  <si>
    <t>基础能量防御力</t>
    <phoneticPr fontId="1" type="noConversion"/>
  </si>
  <si>
    <t>额外物理防御力</t>
    <phoneticPr fontId="1" type="noConversion"/>
  </si>
  <si>
    <t>额外能量防御力</t>
    <phoneticPr fontId="1" type="noConversion"/>
  </si>
  <si>
    <t>基础生命力</t>
    <phoneticPr fontId="1" type="noConversion"/>
  </si>
  <si>
    <t>额外生命力</t>
    <phoneticPr fontId="1" type="noConversion"/>
  </si>
  <si>
    <t>基础物理攻击力</t>
  </si>
  <si>
    <t>基础能量攻击力</t>
  </si>
  <si>
    <t>额外物理攻击力</t>
  </si>
  <si>
    <t>额外能量攻击力</t>
  </si>
  <si>
    <t>基础物理防御力</t>
  </si>
  <si>
    <t>基础能量防御力</t>
  </si>
  <si>
    <t>额外物理防御力</t>
  </si>
  <si>
    <t>额外能量防御力</t>
  </si>
  <si>
    <t>基础生命力</t>
  </si>
  <si>
    <t>额外生命力</t>
  </si>
  <si>
    <t>亡灵序曲</t>
  </si>
  <si>
    <t>亡灵序曲</t>
    <phoneticPr fontId="1" type="noConversion"/>
  </si>
  <si>
    <t>骨炎谭剑</t>
  </si>
  <si>
    <t>骨炎谭剑</t>
    <phoneticPr fontId="1" type="noConversion"/>
  </si>
  <si>
    <t>燃凡颅杖</t>
  </si>
  <si>
    <t>燃凡颅杖</t>
    <phoneticPr fontId="1" type="noConversion"/>
  </si>
  <si>
    <t>凋零长弓</t>
  </si>
  <si>
    <t>凋零长弓</t>
    <phoneticPr fontId="1" type="noConversion"/>
  </si>
  <si>
    <t>大公炎剑</t>
  </si>
  <si>
    <t>大公炎剑</t>
    <phoneticPr fontId="1" type="noConversion"/>
  </si>
  <si>
    <t>燃死颅杖</t>
  </si>
  <si>
    <t>燃死颅杖</t>
    <phoneticPr fontId="1" type="noConversion"/>
  </si>
  <si>
    <t>凋落</t>
  </si>
  <si>
    <t>凋落</t>
    <phoneticPr fontId="1" type="noConversion"/>
  </si>
  <si>
    <t>忘川炽剑</t>
  </si>
  <si>
    <t>忘川炽剑</t>
    <phoneticPr fontId="1" type="noConversion"/>
  </si>
  <si>
    <t>终焉颅杖</t>
  </si>
  <si>
    <t>谢幕</t>
  </si>
  <si>
    <t>死之弓</t>
  </si>
  <si>
    <t>魂死之徒</t>
  </si>
  <si>
    <t>逢魔幽刃</t>
  </si>
  <si>
    <t>狂涌长弓</t>
  </si>
  <si>
    <t>凡王归魂</t>
  </si>
  <si>
    <t>突限.逐死抗命</t>
  </si>
  <si>
    <t>突限.逢魔魂刃</t>
  </si>
  <si>
    <t>突限.狂涌亡魂之终末</t>
  </si>
  <si>
    <t>突限.冥土亡现</t>
  </si>
  <si>
    <t>突限.不屈者</t>
  </si>
  <si>
    <t>突限.忠誓者</t>
  </si>
  <si>
    <t>突限.无恶者</t>
  </si>
  <si>
    <t>突限.逐暗者</t>
  </si>
  <si>
    <t>午夜领主的镰刀</t>
  </si>
  <si>
    <t>午夜领主的镰刀</t>
    <phoneticPr fontId="1" type="noConversion"/>
  </si>
  <si>
    <t>众念战士的盔甲</t>
  </si>
  <si>
    <t>众念战士的盔甲</t>
    <phoneticPr fontId="1" type="noConversion"/>
  </si>
  <si>
    <t>众念战士的腿甲</t>
  </si>
  <si>
    <t>众念战士的腿甲</t>
    <phoneticPr fontId="1" type="noConversion"/>
  </si>
  <si>
    <t>80%</t>
  </si>
  <si>
    <t/>
  </si>
  <si>
    <t>40%</t>
  </si>
  <si>
    <t>28%</t>
  </si>
  <si>
    <t>20%</t>
  </si>
  <si>
    <t>85%</t>
  </si>
  <si>
    <t>90%</t>
  </si>
  <si>
    <t>92%</t>
  </si>
  <si>
    <t>50%</t>
  </si>
  <si>
    <t>35%</t>
  </si>
  <si>
    <t>25%</t>
  </si>
  <si>
    <t>45%</t>
  </si>
  <si>
    <t>22%</t>
  </si>
  <si>
    <t>100%</t>
  </si>
  <si>
    <t>42%</t>
  </si>
  <si>
    <t>0%</t>
  </si>
  <si>
    <t>110%</t>
  </si>
  <si>
    <t>120%</t>
  </si>
  <si>
    <t>46%</t>
  </si>
  <si>
    <t>44%</t>
  </si>
  <si>
    <t>30%</t>
  </si>
  <si>
    <t>60%</t>
  </si>
  <si>
    <t>95%</t>
  </si>
  <si>
    <t>105%</t>
  </si>
  <si>
    <t>115%</t>
  </si>
  <si>
    <t>-10%</t>
  </si>
  <si>
    <t>70%</t>
  </si>
  <si>
    <t>130%</t>
  </si>
  <si>
    <t>10%</t>
  </si>
  <si>
    <t>55%</t>
  </si>
  <si>
    <t>135%</t>
  </si>
  <si>
    <t>52%</t>
  </si>
  <si>
    <t>57%</t>
  </si>
  <si>
    <t>66%</t>
  </si>
  <si>
    <t>32%</t>
  </si>
  <si>
    <t>65%</t>
  </si>
  <si>
    <t>47%</t>
  </si>
  <si>
    <t>33%</t>
  </si>
  <si>
    <t>23%</t>
  </si>
  <si>
    <t>103%</t>
  </si>
  <si>
    <t>36%</t>
  </si>
  <si>
    <t>51%</t>
  </si>
  <si>
    <t>26%</t>
  </si>
  <si>
    <t>37%</t>
  </si>
  <si>
    <t>114%</t>
  </si>
  <si>
    <t>39%</t>
  </si>
  <si>
    <t>56%</t>
  </si>
  <si>
    <t>125%</t>
  </si>
  <si>
    <t>62%</t>
  </si>
  <si>
    <t>43%</t>
  </si>
  <si>
    <t>61%</t>
  </si>
  <si>
    <t>31%</t>
  </si>
  <si>
    <t>普通被动名字</t>
    <phoneticPr fontId="1" type="noConversion"/>
  </si>
  <si>
    <t>史诗被动名字</t>
    <phoneticPr fontId="1" type="noConversion"/>
  </si>
  <si>
    <t>传说被动名字</t>
    <phoneticPr fontId="1" type="noConversion"/>
  </si>
  <si>
    <t>精致原胚</t>
  </si>
  <si>
    <t>精致原胚</t>
    <phoneticPr fontId="1" type="noConversion"/>
  </si>
  <si>
    <t>锐利:6</t>
    <phoneticPr fontId="1" type="noConversion"/>
  </si>
  <si>
    <t>锐利</t>
  </si>
  <si>
    <t>增幅</t>
  </si>
  <si>
    <t>精力</t>
  </si>
  <si>
    <t>体魄</t>
  </si>
  <si>
    <t>聚力</t>
  </si>
  <si>
    <t>超魔</t>
  </si>
  <si>
    <t>锐利:5</t>
    <phoneticPr fontId="1" type="noConversion"/>
  </si>
  <si>
    <t>增幅:5</t>
    <phoneticPr fontId="1" type="noConversion"/>
  </si>
  <si>
    <t>精力:20</t>
  </si>
  <si>
    <t>精力:20</t>
    <phoneticPr fontId="1" type="noConversion"/>
  </si>
  <si>
    <t>增幅:6</t>
    <phoneticPr fontId="1" type="noConversion"/>
  </si>
  <si>
    <t>平原行者</t>
    <phoneticPr fontId="1" type="noConversion"/>
  </si>
  <si>
    <t>精金大锅</t>
    <phoneticPr fontId="1" type="noConversion"/>
  </si>
  <si>
    <t>锐利:3</t>
    <phoneticPr fontId="1" type="noConversion"/>
  </si>
  <si>
    <t>增幅:3</t>
    <phoneticPr fontId="1" type="noConversion"/>
  </si>
  <si>
    <t>体魄:5</t>
    <phoneticPr fontId="1" type="noConversion"/>
  </si>
  <si>
    <t>聚力:10</t>
    <phoneticPr fontId="1" type="noConversion"/>
  </si>
  <si>
    <t>超魔:10</t>
    <phoneticPr fontId="1" type="noConversion"/>
  </si>
  <si>
    <t>聚力:8</t>
    <phoneticPr fontId="1" type="noConversion"/>
  </si>
  <si>
    <t>储魔</t>
  </si>
  <si>
    <t>嗜血</t>
  </si>
  <si>
    <t>储魔:8</t>
    <phoneticPr fontId="1" type="noConversion"/>
  </si>
  <si>
    <t>嗜血:5</t>
    <phoneticPr fontId="1" type="noConversion"/>
  </si>
  <si>
    <t>增幅:10</t>
    <phoneticPr fontId="1" type="noConversion"/>
  </si>
  <si>
    <t>锐利:10</t>
    <phoneticPr fontId="1" type="noConversion"/>
  </si>
  <si>
    <t>体魄:6</t>
    <phoneticPr fontId="1" type="noConversion"/>
  </si>
  <si>
    <t>超魔:6</t>
    <phoneticPr fontId="1" type="noConversion"/>
  </si>
  <si>
    <t>聚力:6</t>
    <phoneticPr fontId="1" type="noConversion"/>
  </si>
  <si>
    <t>见切</t>
  </si>
  <si>
    <t>见切:6</t>
    <phoneticPr fontId="1" type="noConversion"/>
  </si>
  <si>
    <t>偏斜</t>
  </si>
  <si>
    <t>魔噬</t>
  </si>
  <si>
    <t>妖精的手段</t>
  </si>
  <si>
    <t>能量攻击转化率大幅提升，减少30%法力回复速率</t>
  </si>
  <si>
    <t>妖精</t>
  </si>
  <si>
    <t>残心</t>
  </si>
  <si>
    <t>复原</t>
    <phoneticPr fontId="1" type="noConversion"/>
  </si>
  <si>
    <t>追猎</t>
    <phoneticPr fontId="1" type="noConversion"/>
  </si>
  <si>
    <t>沙漠行者</t>
    <phoneticPr fontId="1" type="noConversion"/>
  </si>
  <si>
    <t>伤害加深</t>
    <phoneticPr fontId="1" type="noConversion"/>
  </si>
  <si>
    <t>魔力护甲</t>
    <phoneticPr fontId="1" type="noConversion"/>
  </si>
  <si>
    <t>破甲</t>
    <phoneticPr fontId="1" type="noConversion"/>
  </si>
  <si>
    <t>浴血</t>
    <phoneticPr fontId="1" type="noConversion"/>
  </si>
  <si>
    <t>追猎:8</t>
    <phoneticPr fontId="1" type="noConversion"/>
  </si>
  <si>
    <t>魔噬:10</t>
    <phoneticPr fontId="1" type="noConversion"/>
  </si>
  <si>
    <t>能量穿透+0.1</t>
    <phoneticPr fontId="1" type="noConversion"/>
  </si>
  <si>
    <t>追猎:5</t>
    <phoneticPr fontId="1" type="noConversion"/>
  </si>
  <si>
    <t>储魔:12</t>
    <phoneticPr fontId="1" type="noConversion"/>
  </si>
  <si>
    <t>偏斜:6</t>
    <phoneticPr fontId="1" type="noConversion"/>
  </si>
  <si>
    <t>偏斜:5</t>
    <phoneticPr fontId="1" type="noConversion"/>
  </si>
  <si>
    <t>总伤害减免+0.05</t>
    <phoneticPr fontId="1" type="noConversion"/>
  </si>
  <si>
    <t>体魄:20</t>
    <phoneticPr fontId="1" type="noConversion"/>
  </si>
  <si>
    <t>精力:12</t>
    <phoneticPr fontId="1" type="noConversion"/>
  </si>
  <si>
    <t>魔力护甲:20</t>
    <phoneticPr fontId="1" type="noConversion"/>
  </si>
  <si>
    <t>伤害加深:20</t>
    <phoneticPr fontId="1" type="noConversion"/>
  </si>
  <si>
    <t>复原:20</t>
    <phoneticPr fontId="1" type="noConversion"/>
  </si>
  <si>
    <t>破甲:10</t>
    <phoneticPr fontId="1" type="noConversion"/>
  </si>
  <si>
    <t>增幅:12</t>
    <phoneticPr fontId="1" type="noConversion"/>
  </si>
  <si>
    <t>聚力:20</t>
    <phoneticPr fontId="1" type="noConversion"/>
  </si>
  <si>
    <t>聚力:16</t>
    <phoneticPr fontId="1" type="noConversion"/>
  </si>
  <si>
    <t>受到伤害时，对目标造成自身总物理防御20%伤害。冷却2秒</t>
    <phoneticPr fontId="1" type="noConversion"/>
  </si>
  <si>
    <t>超魔:20</t>
    <phoneticPr fontId="1" type="noConversion"/>
  </si>
  <si>
    <t>锐利:20</t>
    <phoneticPr fontId="1" type="noConversion"/>
  </si>
  <si>
    <t>聚力:30</t>
    <phoneticPr fontId="1" type="noConversion"/>
  </si>
  <si>
    <t>见切:14</t>
    <phoneticPr fontId="1" type="noConversion"/>
  </si>
  <si>
    <t>超魔:14</t>
    <phoneticPr fontId="1" type="noConversion"/>
  </si>
  <si>
    <t>妖精的手段</t>
    <phoneticPr fontId="1" type="noConversion"/>
  </si>
  <si>
    <t>妖精的手段:30</t>
    <phoneticPr fontId="1" type="noConversion"/>
  </si>
  <si>
    <t>增加12％技能伤害</t>
    <phoneticPr fontId="1" type="noConversion"/>
  </si>
  <si>
    <t>激奏之声</t>
    <phoneticPr fontId="1" type="noConversion"/>
  </si>
  <si>
    <t>焚风灼心</t>
    <phoneticPr fontId="1" type="noConversion"/>
  </si>
  <si>
    <t>终曲</t>
    <phoneticPr fontId="1" type="noConversion"/>
  </si>
  <si>
    <t>踽骨</t>
  </si>
  <si>
    <t>万物终亡</t>
    <phoneticPr fontId="1" type="noConversion"/>
  </si>
  <si>
    <t>终局</t>
    <phoneticPr fontId="1" type="noConversion"/>
  </si>
  <si>
    <t>生者渴求</t>
    <phoneticPr fontId="1" type="noConversion"/>
  </si>
  <si>
    <t>见切:12</t>
    <phoneticPr fontId="1" type="noConversion"/>
  </si>
  <si>
    <t>嗜血:12</t>
    <phoneticPr fontId="1" type="noConversion"/>
  </si>
  <si>
    <t>见切:20</t>
    <phoneticPr fontId="1" type="noConversion"/>
  </si>
  <si>
    <t>残心:20</t>
    <phoneticPr fontId="1" type="noConversion"/>
  </si>
  <si>
    <t>终曲:20</t>
    <phoneticPr fontId="1" type="noConversion"/>
  </si>
  <si>
    <t>增幅:20</t>
    <phoneticPr fontId="1" type="noConversion"/>
  </si>
  <si>
    <t>耐力值回复+20(%)</t>
    <phoneticPr fontId="1" type="noConversion"/>
  </si>
  <si>
    <t>生命值提升百分比+0.18</t>
    <phoneticPr fontId="1" type="noConversion"/>
  </si>
  <si>
    <t>体魄:18</t>
    <phoneticPr fontId="1" type="noConversion"/>
  </si>
  <si>
    <t>普通攻击伤害+0.12</t>
    <phoneticPr fontId="1" type="noConversion"/>
  </si>
  <si>
    <t>锐利:12</t>
    <phoneticPr fontId="1" type="noConversion"/>
  </si>
  <si>
    <t>储魔:30</t>
    <phoneticPr fontId="1" type="noConversion"/>
  </si>
  <si>
    <t>体魄:25</t>
    <phoneticPr fontId="1" type="noConversion"/>
  </si>
  <si>
    <t>体魄:30</t>
    <phoneticPr fontId="1" type="noConversion"/>
  </si>
  <si>
    <t>增幅:16</t>
    <phoneticPr fontId="1" type="noConversion"/>
  </si>
  <si>
    <t>体魄:16</t>
    <phoneticPr fontId="1" type="noConversion"/>
  </si>
  <si>
    <t>残心:30</t>
    <phoneticPr fontId="1" type="noConversion"/>
  </si>
  <si>
    <t>残余消化</t>
  </si>
  <si>
    <t>残余消化</t>
    <phoneticPr fontId="1" type="noConversion"/>
  </si>
  <si>
    <t>鲜血暴食</t>
  </si>
  <si>
    <t>鲜血暴食</t>
    <phoneticPr fontId="1" type="noConversion"/>
  </si>
  <si>
    <t>护心</t>
  </si>
  <si>
    <t>护心</t>
    <phoneticPr fontId="1" type="noConversion"/>
  </si>
  <si>
    <t>侵略如火</t>
  </si>
  <si>
    <t>侵略如火</t>
    <phoneticPr fontId="1" type="noConversion"/>
  </si>
  <si>
    <t>审判</t>
  </si>
  <si>
    <t>子午</t>
  </si>
  <si>
    <t>异尖臼齿</t>
  </si>
  <si>
    <t>能量转换</t>
  </si>
  <si>
    <t>肌肉毒素</t>
  </si>
  <si>
    <t>神经毒素</t>
  </si>
  <si>
    <t>愈战愈勇</t>
  </si>
  <si>
    <t>疾风怒涛</t>
  </si>
  <si>
    <t>宿魔增幅</t>
  </si>
  <si>
    <t>刺骨</t>
  </si>
  <si>
    <t>无尽战意</t>
  </si>
  <si>
    <t>龙蚀</t>
  </si>
  <si>
    <t>先祖血脉</t>
  </si>
  <si>
    <t>层林庇护</t>
  </si>
  <si>
    <t>枯木回春</t>
  </si>
  <si>
    <t>大恶戏</t>
  </si>
  <si>
    <t>冥府守望</t>
  </si>
  <si>
    <t>破除誓约</t>
  </si>
  <si>
    <t>蒸汽烈阳</t>
  </si>
  <si>
    <t>显赫</t>
  </si>
  <si>
    <t>龙血脉冲</t>
  </si>
  <si>
    <t>释厄染邪</t>
  </si>
  <si>
    <t>地狱弹膛</t>
  </si>
  <si>
    <t>师走月</t>
  </si>
  <si>
    <t>超大恶戏</t>
  </si>
  <si>
    <t>死途远征</t>
  </si>
  <si>
    <t>能量转换</t>
    <phoneticPr fontId="1" type="noConversion"/>
  </si>
  <si>
    <t>鲜血暴食:8</t>
    <phoneticPr fontId="1" type="noConversion"/>
  </si>
  <si>
    <t>审判:8</t>
    <phoneticPr fontId="1" type="noConversion"/>
  </si>
  <si>
    <t>异尖臼齿:80</t>
    <phoneticPr fontId="1" type="noConversion"/>
  </si>
  <si>
    <t>你普攻造成伤害时有10%对敌方单位5s内每秒受到攻击者额外物理伤害提升百分比力4％的伤害，</t>
    <phoneticPr fontId="1" type="noConversion"/>
  </si>
  <si>
    <t>肌肉毒素:4</t>
    <phoneticPr fontId="1" type="noConversion"/>
  </si>
  <si>
    <t>神经毒素:4</t>
    <phoneticPr fontId="1" type="noConversion"/>
  </si>
  <si>
    <t>疾风怒涛:0.05</t>
    <phoneticPr fontId="1" type="noConversion"/>
  </si>
  <si>
    <t>无尽战意:15</t>
    <phoneticPr fontId="1" type="noConversion"/>
  </si>
  <si>
    <t>龙蚀:100</t>
    <phoneticPr fontId="1" type="noConversion"/>
  </si>
  <si>
    <t>枯木回春:20</t>
    <phoneticPr fontId="1" type="noConversion"/>
  </si>
  <si>
    <t>冥府守望:40</t>
    <phoneticPr fontId="1" type="noConversion"/>
  </si>
  <si>
    <t>普攻有40％的概率对目标造成3秒的【腐败】效果，持续6秒【腐败】：每秒造成基于你总能量攻击5％的伤害。</t>
    <phoneticPr fontId="1" type="noConversion"/>
  </si>
  <si>
    <t>腐败:5</t>
    <phoneticPr fontId="1" type="noConversion"/>
  </si>
  <si>
    <t>破除誓约:150</t>
    <phoneticPr fontId="1" type="noConversion"/>
  </si>
  <si>
    <t>蒸汽烈阳:10</t>
    <phoneticPr fontId="1" type="noConversion"/>
  </si>
  <si>
    <t>你获得等同于你生命偷取概率百分比的能量伤害百分比</t>
    <phoneticPr fontId="1" type="noConversion"/>
  </si>
  <si>
    <t>显赫:100</t>
    <phoneticPr fontId="1" type="noConversion"/>
  </si>
  <si>
    <t>能量转换:10</t>
    <phoneticPr fontId="1" type="noConversion"/>
  </si>
  <si>
    <t>能量转换:5</t>
    <phoneticPr fontId="1" type="noConversion"/>
  </si>
  <si>
    <t>地狱弹膛:80</t>
    <phoneticPr fontId="1" type="noConversion"/>
  </si>
  <si>
    <t>师走月:10</t>
    <phoneticPr fontId="1" type="noConversion"/>
  </si>
  <si>
    <t>每5秒检测，生命低于40%时，获得3秒20％的总伤害减免，冷却30秒</t>
    <phoneticPr fontId="1" type="noConversion"/>
  </si>
  <si>
    <t>护心:20</t>
    <phoneticPr fontId="1" type="noConversion"/>
  </si>
  <si>
    <t>残余消化:50</t>
    <phoneticPr fontId="1" type="noConversion"/>
  </si>
  <si>
    <t>焚风灼心:20</t>
    <phoneticPr fontId="1" type="noConversion"/>
  </si>
  <si>
    <t>终局:80</t>
    <phoneticPr fontId="1" type="noConversion"/>
  </si>
  <si>
    <t>万物终亡:20</t>
    <phoneticPr fontId="1" type="noConversion"/>
  </si>
  <si>
    <t>生者渴求:100</t>
    <phoneticPr fontId="1" type="noConversion"/>
  </si>
  <si>
    <t>荒坟守卫:20</t>
    <phoneticPr fontId="1" type="noConversion"/>
  </si>
  <si>
    <t>荒坟守卫</t>
    <phoneticPr fontId="1" type="noConversion"/>
  </si>
  <si>
    <t>冥土征收:10</t>
    <phoneticPr fontId="1" type="noConversion"/>
  </si>
  <si>
    <t>冥土征收</t>
    <phoneticPr fontId="1" type="noConversion"/>
  </si>
  <si>
    <t>地狱引擎:0.2</t>
    <phoneticPr fontId="1" type="noConversion"/>
  </si>
  <si>
    <t>地狱引擎</t>
    <phoneticPr fontId="1" type="noConversion"/>
  </si>
  <si>
    <t>寂灭</t>
    <phoneticPr fontId="1" type="noConversion"/>
  </si>
  <si>
    <t>逢魔:20</t>
    <phoneticPr fontId="1" type="noConversion"/>
  </si>
  <si>
    <t>逢魔</t>
    <phoneticPr fontId="1" type="noConversion"/>
  </si>
  <si>
    <t>狂涌</t>
    <phoneticPr fontId="1" type="noConversion"/>
  </si>
  <si>
    <t>破魂</t>
    <phoneticPr fontId="1" type="noConversion"/>
  </si>
  <si>
    <t>业报:15</t>
  </si>
  <si>
    <t>业报</t>
    <phoneticPr fontId="1" type="noConversion"/>
  </si>
  <si>
    <t>遂愿:25</t>
    <phoneticPr fontId="1" type="noConversion"/>
  </si>
  <si>
    <t>遂愿</t>
    <phoneticPr fontId="1" type="noConversion"/>
  </si>
  <si>
    <t>往生:25</t>
    <phoneticPr fontId="1" type="noConversion"/>
  </si>
  <si>
    <t>往生</t>
    <phoneticPr fontId="1" type="noConversion"/>
  </si>
  <si>
    <t>踽骨:25</t>
    <phoneticPr fontId="1" type="noConversion"/>
  </si>
  <si>
    <t>不堪寂寞:20</t>
    <phoneticPr fontId="1" type="noConversion"/>
  </si>
  <si>
    <t>不堪寂寞</t>
    <phoneticPr fontId="1" type="noConversion"/>
  </si>
  <si>
    <t>业报:15</t>
    <phoneticPr fontId="1" type="noConversion"/>
  </si>
  <si>
    <t>逐死:50</t>
    <phoneticPr fontId="1" type="noConversion"/>
  </si>
  <si>
    <t>逐死</t>
    <phoneticPr fontId="1" type="noConversion"/>
  </si>
  <si>
    <t>幽月:50</t>
    <phoneticPr fontId="1" type="noConversion"/>
  </si>
  <si>
    <t>幽月</t>
    <phoneticPr fontId="1" type="noConversion"/>
  </si>
  <si>
    <t>命定之死</t>
    <phoneticPr fontId="1" type="noConversion"/>
  </si>
  <si>
    <t>回魂夜:5</t>
    <phoneticPr fontId="1" type="noConversion"/>
  </si>
  <si>
    <t>回魂夜</t>
    <phoneticPr fontId="1" type="noConversion"/>
  </si>
  <si>
    <t>死限:100</t>
    <phoneticPr fontId="1" type="noConversion"/>
  </si>
  <si>
    <t>死限</t>
    <phoneticPr fontId="1" type="noConversion"/>
  </si>
  <si>
    <t>死限:100</t>
  </si>
  <si>
    <t>死限</t>
  </si>
  <si>
    <t>牺牲压迫:100</t>
    <phoneticPr fontId="1" type="noConversion"/>
  </si>
  <si>
    <t>牺牲压迫</t>
    <phoneticPr fontId="1" type="noConversion"/>
  </si>
  <si>
    <t>千华岩流</t>
    <phoneticPr fontId="1" type="noConversion"/>
  </si>
  <si>
    <t>枯萎精魄:40</t>
    <phoneticPr fontId="1" type="noConversion"/>
  </si>
  <si>
    <t>枯萎精魄</t>
    <phoneticPr fontId="1" type="noConversion"/>
  </si>
  <si>
    <t>夙亡誓约:150</t>
    <phoneticPr fontId="1" type="noConversion"/>
  </si>
  <si>
    <t>夙亡誓约</t>
    <phoneticPr fontId="1" type="noConversion"/>
  </si>
  <si>
    <t>太阳耀斑:100</t>
    <phoneticPr fontId="1" type="noConversion"/>
  </si>
  <si>
    <t>太阳耀斑</t>
    <phoneticPr fontId="1" type="noConversion"/>
  </si>
  <si>
    <t>极赫龙血</t>
    <phoneticPr fontId="1" type="noConversion"/>
  </si>
  <si>
    <t>沐浴龙血:2</t>
    <phoneticPr fontId="1" type="noConversion"/>
  </si>
  <si>
    <t>沐浴龙血</t>
    <phoneticPr fontId="1" type="noConversion"/>
  </si>
  <si>
    <t>徐如林</t>
    <phoneticPr fontId="1" type="noConversion"/>
  </si>
  <si>
    <t>第六魔王</t>
    <phoneticPr fontId="1" type="noConversion"/>
  </si>
  <si>
    <t>不动如山:10</t>
    <phoneticPr fontId="1" type="noConversion"/>
  </si>
  <si>
    <t>不动如山</t>
    <phoneticPr fontId="1" type="noConversion"/>
  </si>
  <si>
    <t>未知名字:50</t>
    <phoneticPr fontId="1" type="noConversion"/>
  </si>
  <si>
    <t>未知名字</t>
    <phoneticPr fontId="1" type="noConversion"/>
  </si>
  <si>
    <t>邃黯堕落</t>
    <phoneticPr fontId="1" type="noConversion"/>
  </si>
  <si>
    <t>邃黯堕落:20</t>
    <phoneticPr fontId="1" type="noConversion"/>
  </si>
  <si>
    <t>徐如林:5</t>
    <phoneticPr fontId="1" type="noConversion"/>
  </si>
  <si>
    <t>转化率数值提升</t>
  </si>
  <si>
    <t>荆棘:1</t>
  </si>
  <si>
    <t>荆棘:20</t>
  </si>
  <si>
    <t>荆棘</t>
  </si>
  <si>
    <t>激奏之声</t>
  </si>
  <si>
    <t>锐利:5</t>
  </si>
  <si>
    <t>增幅:5</t>
  </si>
  <si>
    <t>锐利:6</t>
  </si>
  <si>
    <t>增幅:6</t>
  </si>
  <si>
    <t>锐利:3</t>
  </si>
  <si>
    <t>增幅:3</t>
  </si>
  <si>
    <t>体魄:5</t>
  </si>
  <si>
    <t>聚力:10</t>
  </si>
  <si>
    <t>超魔:10</t>
  </si>
  <si>
    <t>聚力:8</t>
  </si>
  <si>
    <t>储魔:8</t>
  </si>
  <si>
    <t>嗜血:5</t>
  </si>
  <si>
    <t>增幅:10</t>
  </si>
  <si>
    <t>锐利:10</t>
  </si>
  <si>
    <t>体魄:6</t>
  </si>
  <si>
    <t>超魔:6</t>
  </si>
  <si>
    <t>聚力:6</t>
  </si>
  <si>
    <t>见切:6</t>
  </si>
  <si>
    <t>追猎:5</t>
  </si>
  <si>
    <t>储魔:12</t>
  </si>
  <si>
    <t>偏斜:6</t>
  </si>
  <si>
    <t>偏斜:5</t>
  </si>
  <si>
    <t>体魄:20</t>
  </si>
  <si>
    <t>精力:12</t>
  </si>
  <si>
    <t>魔噬:10</t>
  </si>
  <si>
    <t>伤害加深:20</t>
  </si>
  <si>
    <t>魔力护甲:20</t>
  </si>
  <si>
    <t>妖精的手段:30</t>
  </si>
  <si>
    <t>复原:20</t>
  </si>
  <si>
    <t>追猎:8</t>
  </si>
  <si>
    <t>破甲:10</t>
  </si>
  <si>
    <t>增幅:12</t>
  </si>
  <si>
    <t>聚力:20</t>
  </si>
  <si>
    <t>聚力:16</t>
  </si>
  <si>
    <t>超魔:20</t>
  </si>
  <si>
    <t>锐利:20</t>
  </si>
  <si>
    <t>聚力:30</t>
  </si>
  <si>
    <t>见切:14</t>
  </si>
  <si>
    <t>超魔:14</t>
  </si>
  <si>
    <t>增幅:20</t>
  </si>
  <si>
    <t>见切:12</t>
  </si>
  <si>
    <t>嗜血:12</t>
  </si>
  <si>
    <t>体魄:18</t>
  </si>
  <si>
    <t>见切:20</t>
  </si>
  <si>
    <t>残心:20</t>
  </si>
  <si>
    <t>锐利:12</t>
  </si>
  <si>
    <t>储魔:30</t>
  </si>
  <si>
    <t>增幅:16</t>
  </si>
  <si>
    <t>体魄:16</t>
  </si>
  <si>
    <t>残心:30</t>
  </si>
  <si>
    <t>体魄:30</t>
  </si>
  <si>
    <t>体魄:25</t>
  </si>
  <si>
    <t>平原行者</t>
  </si>
  <si>
    <t>精金大锅</t>
  </si>
  <si>
    <t>沙漠行者</t>
  </si>
  <si>
    <t>伤害加深</t>
  </si>
  <si>
    <t>魔力护甲</t>
  </si>
  <si>
    <t>复原</t>
  </si>
  <si>
    <t>浴血</t>
  </si>
  <si>
    <t>破甲</t>
  </si>
  <si>
    <t>总伤害减免+0.05</t>
  </si>
  <si>
    <t>能量穿透+0.1</t>
  </si>
  <si>
    <t>受到伤害时，对目标造成自身总物理防御20%伤害。冷却2秒</t>
  </si>
  <si>
    <t>增加12％技能伤害</t>
  </si>
  <si>
    <t>生命值提升百分比+0.18</t>
  </si>
  <si>
    <t>耐力值回复+20(%)</t>
  </si>
  <si>
    <t>普通攻击伤害+0.12</t>
  </si>
  <si>
    <t>审判:8</t>
  </si>
  <si>
    <t>异尖臼齿:80</t>
  </si>
  <si>
    <t>能量转换:5</t>
  </si>
  <si>
    <t>肌肉毒素:4</t>
  </si>
  <si>
    <t>神经毒素:4</t>
  </si>
  <si>
    <t>疾风怒涛:0.05</t>
  </si>
  <si>
    <t>无尽战意:15</t>
  </si>
  <si>
    <t>龙蚀:100</t>
  </si>
  <si>
    <t>枯木回春:20</t>
  </si>
  <si>
    <t>冥府守望:40</t>
  </si>
  <si>
    <t>腐败:5</t>
  </si>
  <si>
    <t>破除誓约:150</t>
  </si>
  <si>
    <t>蒸汽烈阳:10</t>
  </si>
  <si>
    <t>显赫:100</t>
  </si>
  <si>
    <t>护心:20</t>
  </si>
  <si>
    <t>鲜血暴食:8</t>
  </si>
  <si>
    <t>能量转换:10</t>
  </si>
  <si>
    <t>地狱弹膛:80</t>
  </si>
  <si>
    <t>师走月:10</t>
  </si>
  <si>
    <t>残余消化:50</t>
  </si>
  <si>
    <t>终曲:20</t>
  </si>
  <si>
    <t>焚风灼心:20</t>
  </si>
  <si>
    <t>终局:80</t>
  </si>
  <si>
    <t>万物终亡:20</t>
  </si>
  <si>
    <t>生者渴求:100</t>
  </si>
  <si>
    <t>荒坟守卫:20</t>
  </si>
  <si>
    <t>冥土征收:10</t>
  </si>
  <si>
    <t>地狱引擎:0.2</t>
  </si>
  <si>
    <t>逢魔:20</t>
  </si>
  <si>
    <t>遂愿:25</t>
  </si>
  <si>
    <t>往生:25</t>
  </si>
  <si>
    <t>踽骨:25</t>
  </si>
  <si>
    <t>不堪寂寞:20</t>
  </si>
  <si>
    <t>终曲</t>
  </si>
  <si>
    <t>焚风灼心</t>
  </si>
  <si>
    <t>终局</t>
  </si>
  <si>
    <t>万物终亡</t>
  </si>
  <si>
    <t>生者渴求</t>
  </si>
  <si>
    <t>荒坟守卫</t>
  </si>
  <si>
    <t>冥土征收</t>
  </si>
  <si>
    <t>地狱引擎</t>
  </si>
  <si>
    <t>寂灭</t>
  </si>
  <si>
    <t>逢魔</t>
  </si>
  <si>
    <t>狂涌</t>
  </si>
  <si>
    <t>破魂</t>
  </si>
  <si>
    <t>业报</t>
  </si>
  <si>
    <t>遂愿</t>
  </si>
  <si>
    <t>往生</t>
  </si>
  <si>
    <t>不堪寂寞</t>
  </si>
  <si>
    <t>普攻有40％的概率对目标造成3秒的【腐败】效果，持续6秒【腐败】：每秒造成基于你总能量攻击5％的伤害。</t>
  </si>
  <si>
    <t>邃黯堕落:20</t>
  </si>
  <si>
    <t>牺牲压迫:100</t>
  </si>
  <si>
    <t>枯萎精魄:40</t>
  </si>
  <si>
    <t>夙亡誓约:150</t>
  </si>
  <si>
    <t>太阳耀斑:100</t>
  </si>
  <si>
    <t>沐浴龙血:2</t>
  </si>
  <si>
    <t>徐如林:5</t>
  </si>
  <si>
    <t>不动如山:10</t>
  </si>
  <si>
    <t>未知名字:50</t>
  </si>
  <si>
    <t>逐死:50</t>
  </si>
  <si>
    <t>幽月:50</t>
  </si>
  <si>
    <t>回魂夜:5</t>
  </si>
  <si>
    <t>邃黯堕落</t>
  </si>
  <si>
    <t>牺牲压迫</t>
  </si>
  <si>
    <t>千华岩流</t>
  </si>
  <si>
    <t>枯萎精魄</t>
  </si>
  <si>
    <t>夙亡誓约</t>
  </si>
  <si>
    <t>太阳耀斑</t>
  </si>
  <si>
    <t>极赫龙血</t>
  </si>
  <si>
    <t>沐浴龙血</t>
  </si>
  <si>
    <t>徐如林</t>
  </si>
  <si>
    <t>第六魔王</t>
  </si>
  <si>
    <t>不动如山</t>
  </si>
  <si>
    <t>未知名字</t>
  </si>
  <si>
    <t>逐死</t>
  </si>
  <si>
    <t>幽月</t>
  </si>
  <si>
    <t>命定之死</t>
  </si>
  <si>
    <t>回魂夜</t>
  </si>
  <si>
    <t>嗜血</t>
    <phoneticPr fontId="1" type="noConversion"/>
  </si>
  <si>
    <t>嗜血:10</t>
    <phoneticPr fontId="1" type="noConversion"/>
  </si>
  <si>
    <t>嗜血:15</t>
    <phoneticPr fontId="1" type="noConversion"/>
  </si>
  <si>
    <t>嗜血:20</t>
    <phoneticPr fontId="1" type="noConversion"/>
  </si>
  <si>
    <t>锻体:5</t>
  </si>
  <si>
    <t>锻体</t>
  </si>
  <si>
    <t>锻体:10</t>
  </si>
  <si>
    <t>锻体:12</t>
  </si>
  <si>
    <t>锻体:14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</si>
</sst>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等线"/>
      <family val="2"/>
      <scheme val="minor"/>
    </font>
    <font>
      <sz val="9"/>
      <name val="等线"/>
      <family val="3"/>
      <charset val="134"/>
      <scheme val="minor"/>
    </font>
    <font>
      <sz val="9"/>
      <name val="等线"/>
      <family val="2"/>
      <charset val="134"/>
      <scheme val="minor"/>
    </font>
    <font>
      <sz val="11"/>
      <color rgb="FF000000"/>
      <name val="等线"/>
      <family val="3"/>
      <charset val="134"/>
    </font>
    <font>
      <sz val="10"/>
      <color theme="1"/>
      <name val="等线"/>
      <family val="2"/>
      <scheme val="minor"/>
    </font>
    <font>
      <sz val="11"/>
      <color rgb="FFFF0000"/>
      <name val="等线"/>
      <family val="2"/>
      <scheme val="minor"/>
    </font>
    <font>
      <sz val="10"/>
      <color rgb="FFFF0000"/>
      <name val="等线"/>
      <family val="2"/>
      <scheme val="minor"/>
    </font>
    <font>
      <sz val="11"/>
      <color rgb="FFFF0000"/>
      <name val="等线"/>
      <family val="3"/>
      <charset val="134"/>
      <scheme val="minor"/>
    </font>
    <font>
      <sz val="11"/>
      <color rgb="FF00B050"/>
      <name val="等线"/>
      <family val="2"/>
      <scheme val="minor"/>
    </font>
    <font>
      <sz val="10"/>
      <color rgb="FF00B050"/>
      <name val="等线"/>
      <family val="2"/>
      <scheme val="minor"/>
    </font>
    <font>
      <sz val="11"/>
      <color rgb="FF00B050"/>
      <name val="等线"/>
      <family val="3"/>
      <charset val="134"/>
      <scheme val="minor"/>
    </font>
    <font>
      <sz val="11"/>
      <color rgb="FF00B0F0"/>
      <name val="等线"/>
      <family val="2"/>
      <scheme val="minor"/>
    </font>
    <font>
      <sz val="10"/>
      <color rgb="FF00B0F0"/>
      <name val="等线"/>
      <family val="2"/>
      <scheme val="minor"/>
    </font>
    <font>
      <sz val="11"/>
      <color rgb="FF00B0F0"/>
      <name val="等线"/>
      <family val="3"/>
      <charset val="134"/>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ont="0" applyFill="0" applyBorder="0" applyProtection="0"/>
  </cellStyleXfs>
  <cellXfs count="31">
    <xf numFmtId="0" fontId="0" fillId="0" borderId="0" xfId="0"/>
    <xf numFmtId="0" fontId="0" fillId="0" borderId="0" xfId="0" applyAlignment="1">
      <alignment vertical="center"/>
    </xf>
    <xf numFmtId="0" fontId="4" fillId="0" borderId="0" xfId="1" applyAlignment="1">
      <alignment vertical="center"/>
    </xf>
    <xf numFmtId="0" fontId="6" fillId="0" borderId="0" xfId="1" applyFont="1" applyAlignment="1">
      <alignment vertical="center"/>
    </xf>
    <xf numFmtId="0" fontId="9" fillId="0" borderId="0" xfId="1" applyFont="1" applyAlignment="1">
      <alignment vertical="center"/>
    </xf>
    <xf numFmtId="9" fontId="0" fillId="0" borderId="0" xfId="0" applyNumberFormat="1"/>
    <xf numFmtId="0" fontId="5" fillId="0" borderId="0" xfId="0" applyFont="1"/>
    <xf numFmtId="0" fontId="7" fillId="0" borderId="0" xfId="0" applyFont="1"/>
    <xf numFmtId="0" fontId="8" fillId="0" borderId="0" xfId="0" applyFont="1"/>
    <xf numFmtId="0" fontId="0" fillId="0" borderId="0" xfId="0" applyAlignment="1">
      <alignment wrapText="1"/>
    </xf>
    <xf numFmtId="9" fontId="0" fillId="2" borderId="1" xfId="0" applyNumberFormat="1" applyFill="1" applyBorder="1"/>
    <xf numFmtId="9" fontId="0" fillId="0" borderId="1" xfId="0" applyNumberFormat="1" applyBorder="1"/>
    <xf numFmtId="0" fontId="0" fillId="0" borderId="1" xfId="0" applyBorder="1"/>
    <xf numFmtId="10" fontId="0" fillId="0" borderId="0" xfId="0" applyNumberFormat="1"/>
    <xf numFmtId="49" fontId="0" fillId="0" borderId="0" xfId="0" applyNumberFormat="1"/>
    <xf numFmtId="49" fontId="5" fillId="0" borderId="0" xfId="0" applyNumberFormat="1" applyFont="1"/>
    <xf numFmtId="49" fontId="7" fillId="0" borderId="0" xfId="0" applyNumberFormat="1" applyFont="1"/>
    <xf numFmtId="49" fontId="8" fillId="0" borderId="0" xfId="0" applyNumberFormat="1" applyFont="1"/>
    <xf numFmtId="49" fontId="10" fillId="0" borderId="0" xfId="0" applyNumberFormat="1" applyFont="1"/>
    <xf numFmtId="49" fontId="0" fillId="0" borderId="1" xfId="0" applyNumberFormat="1" applyBorder="1"/>
    <xf numFmtId="9" fontId="5" fillId="2" borderId="1" xfId="0" applyNumberFormat="1" applyFont="1" applyFill="1" applyBorder="1"/>
    <xf numFmtId="9" fontId="7" fillId="2" borderId="1" xfId="0" applyNumberFormat="1" applyFont="1" applyFill="1" applyBorder="1"/>
    <xf numFmtId="9" fontId="5" fillId="0" borderId="1" xfId="0" applyNumberFormat="1" applyFont="1" applyBorder="1"/>
    <xf numFmtId="9" fontId="7" fillId="0" borderId="1" xfId="0" applyNumberFormat="1" applyFont="1" applyBorder="1"/>
    <xf numFmtId="9" fontId="8" fillId="0" borderId="1" xfId="0" applyNumberFormat="1" applyFont="1" applyBorder="1"/>
    <xf numFmtId="9" fontId="10" fillId="0" borderId="1" xfId="0" applyNumberFormat="1" applyFont="1" applyBorder="1"/>
    <xf numFmtId="0" fontId="11" fillId="0" borderId="0" xfId="0" applyFont="1"/>
    <xf numFmtId="0" fontId="12" fillId="0" borderId="0" xfId="1" applyFont="1" applyAlignment="1">
      <alignment vertical="center"/>
    </xf>
    <xf numFmtId="49" fontId="13" fillId="0" borderId="0" xfId="0" applyNumberFormat="1" applyFont="1"/>
    <xf numFmtId="0" fontId="13" fillId="0" borderId="0" xfId="0" applyFont="1"/>
    <xf numFmtId="0" fontId="13" fillId="0" borderId="0" xfId="0" applyFont="1" applyAlignment="1">
      <alignment vertical="center"/>
    </xf>
  </cellXfs>
  <cellStyles count="2">
    <cellStyle name="常规" xfId="0" builtinId="0"/>
    <cellStyle name="常规 2" xfId="1" xr:uid="{BCD264BC-72AD-4EBB-B9F6-BCA072ED7C4C}"/>
  </cellStyles>
  <dxfs count="34">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numFmt numFmtId="30" formatCode="@"/>
      <alignment horizontal="general" textRotation="0" wrapText="0" indent="0" justifyLastLine="0" shrinkToFit="0" readingOrder="0"/>
    </dxf>
    <dxf>
      <numFmt numFmtId="30" formatCode="@"/>
      <alignment horizontal="general" textRotation="0" wrapText="0" indent="0" justifyLastLine="0" shrinkToFit="0" readingOrder="0"/>
    </dxf>
    <dxf>
      <numFmt numFmtId="30" formatCode="@"/>
      <alignment horizontal="general" textRotation="0" wrapText="0" indent="0" justifyLastLine="0" shrinkToFit="0" readingOrder="0"/>
    </dxf>
    <dxf>
      <numFmt numFmtId="30" formatCode="@"/>
      <alignment horizontal="general" textRotation="0" wrapText="0" indent="0" justifyLastLine="0" shrinkToFit="0" readingOrder="0"/>
    </dxf>
    <dxf>
      <numFmt numFmtId="30" formatCode="@"/>
      <alignment horizontal="general" textRotation="0" wrapText="0" indent="0" justifyLastLine="0" shrinkToFit="0" readingOrder="0"/>
    </dxf>
    <dxf>
      <numFmt numFmtId="30" formatCode="@"/>
      <alignment horizontal="general" textRotation="0" wrapText="0" indent="0" justifyLastLine="0" shrinkToFit="0" readingOrder="0"/>
    </dxf>
    <dxf>
      <numFmt numFmtId="30" formatCode="@"/>
      <alignment horizontal="general" textRotation="0" wrapText="0" indent="0" justifyLastLine="0" shrinkToFit="0" readingOrder="0"/>
    </dxf>
    <dxf>
      <numFmt numFmtId="30" formatCode="@"/>
      <alignment horizontal="general" textRotation="0" wrapText="0" indent="0" justifyLastLine="0" shrinkToFit="0" readingOrder="0"/>
    </dxf>
    <dxf>
      <numFmt numFmtId="30" formatCode="@"/>
      <alignment horizontal="general" textRotation="0" wrapText="0" indent="0" justifyLastLine="0" shrinkToFit="0" readingOrder="0"/>
    </dxf>
    <dxf>
      <numFmt numFmtId="30" formatCode="@"/>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numFmt numFmtId="0" formatCode="General"/>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1</xdr:row>
          <xdr:rowOff>123825</xdr:rowOff>
        </xdr:from>
        <xdr:to>
          <xdr:col>6</xdr:col>
          <xdr:colOff>104775</xdr:colOff>
          <xdr:row>5</xdr:row>
          <xdr:rowOff>104775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ClassesConfig导出</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F7051F-8139-49AC-9D4D-DFC3D496A829}" name="ID编号" displayName="ID编号" ref="H1:H2" totalsRowShown="0">
  <autoFilter ref="H1:H2" xr:uid="{6CF7051F-8139-49AC-9D4D-DFC3D496A829}"/>
  <tableColumns count="1">
    <tableColumn id="1" xr3:uid="{B97AA4CB-4703-45A8-91B0-F678FF3FDF00}" name="id编号"/>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C09665A-041F-4012-94E6-FD2161080D8D}" name="原胚表头" displayName="原胚表头" ref="A1:B32" totalsRowShown="0">
  <autoFilter ref="A1:B32" xr:uid="{7C09665A-041F-4012-94E6-FD2161080D8D}"/>
  <tableColumns count="2">
    <tableColumn id="1" xr3:uid="{5F346CB8-0FA2-470A-A799-79B9510F3948}" name="字段名" dataDxfId="33"/>
    <tableColumn id="2" xr3:uid="{8A4ED522-C472-4D2C-ACFB-ECBAC530A10A}" name="类型"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B91D2F-8756-439D-81DF-ACE4AC7CCFBD}" name="原胚编辑表" displayName="原胚编辑表" ref="B6:AG148" totalsRowShown="0" headerRowDxfId="32" dataDxfId="31">
  <autoFilter ref="B6:AG148" xr:uid="{72B91D2F-8756-439D-81DF-ACE4AC7CCFBD}"/>
  <sortState xmlns:xlrd2="http://schemas.microsoft.com/office/spreadsheetml/2017/richdata2" ref="B7:AG108">
    <sortCondition ref="D6:D108"/>
  </sortState>
  <tableColumns count="32">
    <tableColumn id="1" xr3:uid="{B5B25D4F-13DC-4E67-8AC0-F779558C6451}" name="ID" dataDxfId="30">
      <calculatedColumnFormula>ID编号[id编号]*10000+ROW()-6</calculatedColumnFormula>
    </tableColumn>
    <tableColumn id="2" xr3:uid="{0BAE16E7-5EE5-44B3-91B6-E5C5008C215E}" name="Name" dataDxfId="29"/>
    <tableColumn id="5" xr3:uid="{D05D5633-106E-47C8-899D-0AE25539A2F6}" name="EmbryoQuality" dataDxfId="28"/>
    <tableColumn id="12" xr3:uid="{9AE576F1-6D95-4178-AB07-7093B0B49131}" name="EmbryoTpye" dataDxfId="27"/>
    <tableColumn id="16" xr3:uid="{E2C0623E-C081-46B3-B99A-6B7EBB728C47}" name="DamageTpye" dataDxfId="26"/>
    <tableColumn id="17" xr3:uid="{2698E2CD-0B6F-47A3-BD68-3CED31F5C575}" name="基础物理攻击力" dataDxfId="25"/>
    <tableColumn id="6" xr3:uid="{056916C6-0A49-4C67-B06A-D45F59B5DFF7}" name="基础能量攻击力" dataDxfId="24"/>
    <tableColumn id="7" xr3:uid="{013F725C-0E3F-472F-AD11-3F702777E001}" name="额外物理攻击力" dataDxfId="23"/>
    <tableColumn id="19" xr3:uid="{857B80E7-C4AB-47EC-9805-1D422F3899A6}" name="额外能量攻击力" dataDxfId="22"/>
    <tableColumn id="24" xr3:uid="{C06E2924-828E-4242-851A-812CFD7390B7}" name="基础物理防御力" dataDxfId="21"/>
    <tableColumn id="23" xr3:uid="{AC081B2F-04D1-4D73-A093-8A33F0CBD262}" name="基础能量防御力" dataDxfId="20"/>
    <tableColumn id="22" xr3:uid="{8B608296-4050-40D8-A10B-4B8F0594255F}" name="额外物理防御力" dataDxfId="19"/>
    <tableColumn id="21" xr3:uid="{D996393F-2890-4B8F-8B7B-5EEDE02F58B8}" name="额外能量防御力" dataDxfId="18"/>
    <tableColumn id="20" xr3:uid="{83A3AC11-0064-4C16-BC04-A24D8F9F635A}" name="基础生命力" dataDxfId="17"/>
    <tableColumn id="18" xr3:uid="{E63EB55E-368E-4E7D-8209-3E26728DE348}" name="额外生命力" dataDxfId="16"/>
    <tableColumn id="13" xr3:uid="{5C78A76D-0681-41BC-A37F-5CA552F68F89}" name="普通装备被动" dataDxfId="15"/>
    <tableColumn id="30" xr3:uid="{82158863-062C-43D6-829C-C26AF8127EB8}" name="普通被动名字"/>
    <tableColumn id="10" xr3:uid="{4D1F1BBE-E61A-42A5-AF08-CB8600A862E9}" name="普通被动文案" dataDxfId="14"/>
    <tableColumn id="25" xr3:uid="{AF35E47C-F2E2-40B5-8C20-833D848B8FBA}" name="史诗装备被动" dataDxfId="13"/>
    <tableColumn id="31" xr3:uid="{474E0A43-A93D-499B-874B-1FF7EEBA9228}" name="史诗被动名字"/>
    <tableColumn id="11" xr3:uid="{B490189A-BB75-4BC5-9B24-5768FD75B9A3}" name="史诗被动文案" dataDxfId="12"/>
    <tableColumn id="27" xr3:uid="{CCED78BA-468D-4A43-9856-5FDA4E9A0583}" name="传说装备被动" dataDxfId="11"/>
    <tableColumn id="32" xr3:uid="{09C4F34F-E12A-4EF7-9AB7-D85BC8C7383B}" name="传说被动名字"/>
    <tableColumn id="29" xr3:uid="{3DCB940F-F403-44D4-91AD-CEEB47362D1F}" name="传说被动文案" dataDxfId="10"/>
    <tableColumn id="26" xr3:uid="{1C722E14-0BA1-4CCC-8FDD-1A10CAACB10B}" name="列13" dataDxfId="9"/>
    <tableColumn id="4" xr3:uid="{74EBF9D2-1E53-4ABC-82E2-BD240566AB34}" name="EffectDescription" dataDxfId="8"/>
    <tableColumn id="14" xr3:uid="{1BE10ED9-365D-49A8-B1F6-A17203BE3C65}" name="Durability" dataDxfId="7"/>
    <tableColumn id="15" xr3:uid="{CF0A1097-8A6B-40B6-B9ED-70AA659D59B6}" name="Maintainability" dataDxfId="6"/>
    <tableColumn id="3" xr3:uid="{F2287CFF-8516-4807-A8D3-82EBB3674A19}" name="EmbryoIrons" dataDxfId="5"/>
    <tableColumn id="8" xr3:uid="{FC64FB54-3ADD-4C1A-8C8D-B5EE1E0C8316}" name="EmbryoEffects" dataDxfId="4"/>
    <tableColumn id="9" xr3:uid="{E1815DA8-6C77-4634-B5A7-998C0D6EC9B3}" name="WeaponID" dataDxfId="3"/>
    <tableColumn id="28" xr3:uid="{177E9B15-1BFC-4328-B0D0-B5F624A8A19D}" name="EmbryoDescription" dataDxfId="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9A48C52-9FBB-4DF7-BF6B-067B67A94C31}" name="EmbryoConfig" displayName="EmbryoConfig" ref="A1:AE144" totalsRowShown="0">
  <autoFilter ref="A1:AE144" xr:uid="{A9A48C52-9FBB-4DF7-BF6B-067B67A94C31}"/>
  <tableColumns count="31">
    <tableColumn id="1" xr3:uid="{EA607E83-D33D-4A0C-97F8-A597B6F3F49E}" name="ID" dataDxfId="1"/>
    <tableColumn id="2" xr3:uid="{2C936235-A1A1-4AEC-BE82-3522BA99D055}" name="Name"/>
    <tableColumn id="3" xr3:uid="{2C8B7CDF-3072-41FF-A4ED-4F90C8029112}" name="EmbryoQuality"/>
    <tableColumn id="4" xr3:uid="{F7D305C4-D66C-4D36-B134-8149E2DCB679}" name="EmbryoTpye"/>
    <tableColumn id="5" xr3:uid="{5098651E-5B65-4982-9699-4FF998ED6BAF}" name="DamageTpye"/>
    <tableColumn id="6" xr3:uid="{4EE62301-EA9F-4168-93E1-8C8265D94356}" name="基础物理攻击力"/>
    <tableColumn id="7" xr3:uid="{799F8EA9-F61C-4E27-A7E1-5C3949DBD009}" name="基础能量攻击力"/>
    <tableColumn id="8" xr3:uid="{886C9D33-A3BC-45C2-A31F-44D7F229A048}" name="额外物理攻击力"/>
    <tableColumn id="9" xr3:uid="{6B4172C0-62B4-4C56-B431-63B894496ED5}" name="额外能量攻击力"/>
    <tableColumn id="10" xr3:uid="{7AE60BED-9B21-4077-96A4-4D3C7C90FA74}" name="基础物理防御力"/>
    <tableColumn id="11" xr3:uid="{09398E06-3675-4CC8-A49D-44DBC87E0C5E}" name="基础能量防御力"/>
    <tableColumn id="12" xr3:uid="{60B13E1D-6C43-47F8-AB02-35AAB03D5A9D}" name="额外物理防御力"/>
    <tableColumn id="13" xr3:uid="{9FA587BD-3203-4BEE-ACB1-7DCEC76AD7D2}" name="额外能量防御力"/>
    <tableColumn id="14" xr3:uid="{60739AB9-383B-43E1-9BF5-065D315F3079}" name="基础生命力"/>
    <tableColumn id="15" xr3:uid="{F415D4A6-9AEF-4934-965E-581BA10FF4E5}" name="额外生命力"/>
    <tableColumn id="16" xr3:uid="{E0BBC99A-C892-4C40-872A-35C5947FF62D}" name="普通装备被动"/>
    <tableColumn id="17" xr3:uid="{EABAF4B2-8EF6-4998-8486-CEC2435E7AEC}" name="普通被动名字"/>
    <tableColumn id="18" xr3:uid="{DF966031-037B-4E16-B24E-E7DDBBB9B9D5}" name="普通被动文案"/>
    <tableColumn id="19" xr3:uid="{6C451885-C742-44DF-9983-E1931744CE64}" name="史诗装备被动"/>
    <tableColumn id="20" xr3:uid="{C5DC5B52-9725-4868-B013-ADFE085525BF}" name="史诗被动名字"/>
    <tableColumn id="21" xr3:uid="{0380D002-0BCF-4A2C-B31C-407E104E86C6}" name="史诗被动文案"/>
    <tableColumn id="22" xr3:uid="{C4D6887B-CFF5-4910-B626-F271087CDC31}" name="传说装备被动"/>
    <tableColumn id="23" xr3:uid="{3F4ED91D-1622-45E2-A789-EB8BA89044B3}" name="传说被动名字"/>
    <tableColumn id="24" xr3:uid="{4F9C12FA-23EF-49E0-A1A7-B465D75F5213}" name="传说被动文案"/>
    <tableColumn id="25" xr3:uid="{45D5637B-7784-4472-963E-F008FC58959C}" name="EffectDescription"/>
    <tableColumn id="26" xr3:uid="{12A62184-34E3-47C3-AD4F-060B72E113F0}" name="Durability"/>
    <tableColumn id="27" xr3:uid="{5E15915E-7E93-48E7-AD58-076DE43B3D3D}" name="Maintainability"/>
    <tableColumn id="28" xr3:uid="{8FFD64F1-33CC-4298-B590-8F1FA372FFCA}" name="EmbryoIrons"/>
    <tableColumn id="29" xr3:uid="{F44972F7-2BEA-4B7E-AC5F-126E6DBC8245}" name="EmbryoEffects"/>
    <tableColumn id="30" xr3:uid="{B30B10F6-E52B-467C-961B-6129252C261C}" name="WeaponID"/>
    <tableColumn id="31" xr3:uid="{9E1B852E-9D1C-4D9A-98EF-C27C507009E9}" name="EmbryoDescrip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49E10-AE00-4F9D-9FE8-675CEA2B5C09}">
  <sheetPr codeName="Sheet1"/>
  <dimension ref="A1:H32"/>
  <sheetViews>
    <sheetView workbookViewId="0">
      <selection activeCell="I21" sqref="I21"/>
    </sheetView>
  </sheetViews>
  <sheetFormatPr defaultRowHeight="14.25" x14ac:dyDescent="0.2"/>
  <cols>
    <col min="1" max="1" width="11.25" bestFit="1" customWidth="1"/>
  </cols>
  <sheetData>
    <row r="1" spans="1:8" x14ac:dyDescent="0.2">
      <c r="A1" t="s">
        <v>10</v>
      </c>
      <c r="B1" t="s">
        <v>11</v>
      </c>
      <c r="H1" t="s">
        <v>0</v>
      </c>
    </row>
    <row r="2" spans="1:8" x14ac:dyDescent="0.2">
      <c r="A2" s="1" t="s">
        <v>8</v>
      </c>
      <c r="B2" s="1" t="s">
        <v>6</v>
      </c>
      <c r="H2">
        <v>104</v>
      </c>
    </row>
    <row r="3" spans="1:8" x14ac:dyDescent="0.2">
      <c r="A3" s="1" t="s">
        <v>9</v>
      </c>
      <c r="B3" s="1" t="s">
        <v>12</v>
      </c>
    </row>
    <row r="4" spans="1:8" x14ac:dyDescent="0.2">
      <c r="A4" t="s">
        <v>19</v>
      </c>
      <c r="B4" s="1" t="s">
        <v>13</v>
      </c>
    </row>
    <row r="5" spans="1:8" x14ac:dyDescent="0.2">
      <c r="A5" t="s">
        <v>23</v>
      </c>
      <c r="B5" s="1" t="s">
        <v>13</v>
      </c>
    </row>
    <row r="6" spans="1:8" x14ac:dyDescent="0.2">
      <c r="A6" t="s">
        <v>40</v>
      </c>
      <c r="B6" s="1" t="s">
        <v>13</v>
      </c>
    </row>
    <row r="7" spans="1:8" x14ac:dyDescent="0.2">
      <c r="A7" s="13" t="s">
        <v>564</v>
      </c>
      <c r="B7" s="1" t="s">
        <v>31</v>
      </c>
    </row>
    <row r="8" spans="1:8" x14ac:dyDescent="0.2">
      <c r="A8" s="13" t="s">
        <v>565</v>
      </c>
      <c r="B8" s="1" t="s">
        <v>31</v>
      </c>
    </row>
    <row r="9" spans="1:8" x14ac:dyDescent="0.2">
      <c r="A9" s="13" t="s">
        <v>566</v>
      </c>
      <c r="B9" s="1" t="s">
        <v>31</v>
      </c>
    </row>
    <row r="10" spans="1:8" x14ac:dyDescent="0.2">
      <c r="A10" s="13" t="s">
        <v>567</v>
      </c>
      <c r="B10" s="1" t="s">
        <v>31</v>
      </c>
    </row>
    <row r="11" spans="1:8" x14ac:dyDescent="0.2">
      <c r="A11" s="13" t="s">
        <v>568</v>
      </c>
      <c r="B11" s="1" t="s">
        <v>31</v>
      </c>
    </row>
    <row r="12" spans="1:8" x14ac:dyDescent="0.2">
      <c r="A12" s="13" t="s">
        <v>569</v>
      </c>
      <c r="B12" s="1" t="s">
        <v>31</v>
      </c>
    </row>
    <row r="13" spans="1:8" x14ac:dyDescent="0.2">
      <c r="A13" s="13" t="s">
        <v>570</v>
      </c>
      <c r="B13" s="1" t="s">
        <v>31</v>
      </c>
    </row>
    <row r="14" spans="1:8" x14ac:dyDescent="0.2">
      <c r="A14" s="13" t="s">
        <v>571</v>
      </c>
      <c r="B14" s="1" t="s">
        <v>31</v>
      </c>
    </row>
    <row r="15" spans="1:8" x14ac:dyDescent="0.2">
      <c r="A15" s="13" t="s">
        <v>572</v>
      </c>
      <c r="B15" s="1" t="s">
        <v>31</v>
      </c>
    </row>
    <row r="16" spans="1:8" x14ac:dyDescent="0.2">
      <c r="A16" s="13" t="s">
        <v>573</v>
      </c>
      <c r="B16" s="1" t="s">
        <v>31</v>
      </c>
    </row>
    <row r="17" spans="1:2" x14ac:dyDescent="0.2">
      <c r="A17" t="s">
        <v>140</v>
      </c>
      <c r="B17" s="1" t="s">
        <v>31</v>
      </c>
    </row>
    <row r="18" spans="1:2" x14ac:dyDescent="0.2">
      <c r="A18" t="s">
        <v>673</v>
      </c>
      <c r="B18" s="1" t="s">
        <v>31</v>
      </c>
    </row>
    <row r="19" spans="1:2" x14ac:dyDescent="0.2">
      <c r="A19" t="s">
        <v>254</v>
      </c>
      <c r="B19" s="1" t="s">
        <v>31</v>
      </c>
    </row>
    <row r="20" spans="1:2" x14ac:dyDescent="0.2">
      <c r="A20" t="s">
        <v>144</v>
      </c>
      <c r="B20" s="1" t="s">
        <v>31</v>
      </c>
    </row>
    <row r="21" spans="1:2" x14ac:dyDescent="0.2">
      <c r="A21" t="s">
        <v>674</v>
      </c>
      <c r="B21" s="1" t="s">
        <v>31</v>
      </c>
    </row>
    <row r="22" spans="1:2" x14ac:dyDescent="0.2">
      <c r="A22" t="s">
        <v>255</v>
      </c>
      <c r="B22" s="1" t="s">
        <v>31</v>
      </c>
    </row>
    <row r="23" spans="1:2" x14ac:dyDescent="0.2">
      <c r="A23" t="s">
        <v>182</v>
      </c>
      <c r="B23" s="1" t="s">
        <v>31</v>
      </c>
    </row>
    <row r="24" spans="1:2" x14ac:dyDescent="0.2">
      <c r="A24" t="s">
        <v>675</v>
      </c>
      <c r="B24" s="1" t="s">
        <v>31</v>
      </c>
    </row>
    <row r="25" spans="1:2" x14ac:dyDescent="0.2">
      <c r="A25" t="s">
        <v>256</v>
      </c>
      <c r="B25" s="1" t="s">
        <v>31</v>
      </c>
    </row>
    <row r="26" spans="1:2" x14ac:dyDescent="0.2">
      <c r="A26" t="s">
        <v>33</v>
      </c>
      <c r="B26" s="1" t="s">
        <v>31</v>
      </c>
    </row>
    <row r="27" spans="1:2" x14ac:dyDescent="0.2">
      <c r="A27" t="s">
        <v>36</v>
      </c>
      <c r="B27" s="1" t="s">
        <v>13</v>
      </c>
    </row>
    <row r="28" spans="1:2" x14ac:dyDescent="0.2">
      <c r="A28" t="s">
        <v>37</v>
      </c>
      <c r="B28" s="1" t="s">
        <v>13</v>
      </c>
    </row>
    <row r="29" spans="1:2" x14ac:dyDescent="0.2">
      <c r="A29" t="s">
        <v>28</v>
      </c>
      <c r="B29" s="1" t="s">
        <v>13</v>
      </c>
    </row>
    <row r="30" spans="1:2" x14ac:dyDescent="0.2">
      <c r="A30" t="s">
        <v>29</v>
      </c>
      <c r="B30" s="1" t="s">
        <v>30</v>
      </c>
    </row>
    <row r="31" spans="1:2" x14ac:dyDescent="0.2">
      <c r="A31" t="s">
        <v>27</v>
      </c>
      <c r="B31" s="1" t="s">
        <v>13</v>
      </c>
    </row>
    <row r="32" spans="1:2" x14ac:dyDescent="0.2">
      <c r="A32" t="s">
        <v>20</v>
      </c>
      <c r="B32" s="1" t="s">
        <v>18</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Config">
                <anchor moveWithCells="1" sizeWithCells="1">
                  <from>
                    <xdr:col>2</xdr:col>
                    <xdr:colOff>381000</xdr:colOff>
                    <xdr:row>1</xdr:row>
                    <xdr:rowOff>123825</xdr:rowOff>
                  </from>
                  <to>
                    <xdr:col>6</xdr:col>
                    <xdr:colOff>104775</xdr:colOff>
                    <xdr:row>5</xdr:row>
                    <xdr:rowOff>104775</xdr:rowOff>
                  </to>
                </anchor>
              </controlPr>
            </control>
          </mc:Choice>
        </mc:AlternateContent>
      </controls>
    </mc:Choice>
  </mc:AlternateContent>
  <tableParts count="2">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G157"/>
  <sheetViews>
    <sheetView tabSelected="1" zoomScaleNormal="100" workbookViewId="0">
      <pane xSplit="3" ySplit="6" topLeftCell="G103" activePane="bottomRight" state="frozen"/>
      <selection pane="topRight" activeCell="D1" sqref="D1"/>
      <selection pane="bottomLeft" activeCell="A7" sqref="A7"/>
      <selection pane="bottomRight" activeCell="S141" sqref="H104:S141"/>
    </sheetView>
  </sheetViews>
  <sheetFormatPr defaultRowHeight="14.25" x14ac:dyDescent="0.2"/>
  <cols>
    <col min="2" max="2" width="9.5" bestFit="1" customWidth="1"/>
    <col min="3" max="3" width="28.125" bestFit="1" customWidth="1"/>
    <col min="4" max="4" width="18.5" bestFit="1" customWidth="1"/>
    <col min="5" max="5" width="18.5" customWidth="1"/>
    <col min="6" max="6" width="15" bestFit="1" customWidth="1"/>
    <col min="7" max="14" width="13" customWidth="1"/>
    <col min="15" max="16" width="11" customWidth="1"/>
    <col min="17" max="17" width="16.875" customWidth="1"/>
    <col min="18" max="19" width="27.5" customWidth="1"/>
    <col min="20" max="21" width="18" customWidth="1"/>
    <col min="22" max="22" width="38.25" customWidth="1"/>
    <col min="23" max="25" width="18" customWidth="1"/>
    <col min="26" max="26" width="18.875" customWidth="1"/>
    <col min="27" max="29" width="13" customWidth="1"/>
    <col min="30" max="30" width="12" bestFit="1" customWidth="1"/>
    <col min="31" max="31" width="16" bestFit="1" customWidth="1"/>
    <col min="32" max="32" width="10.875" bestFit="1" customWidth="1"/>
    <col min="33" max="33" width="18.5" customWidth="1"/>
  </cols>
  <sheetData>
    <row r="1" spans="1:33" x14ac:dyDescent="0.2">
      <c r="A1" s="1" t="s">
        <v>1</v>
      </c>
      <c r="B1" s="1">
        <v>0</v>
      </c>
      <c r="C1" s="1">
        <v>1</v>
      </c>
      <c r="D1">
        <v>2</v>
      </c>
      <c r="E1" s="1">
        <v>3</v>
      </c>
      <c r="F1" s="1">
        <v>4</v>
      </c>
      <c r="G1">
        <v>5</v>
      </c>
      <c r="H1" s="1">
        <v>6</v>
      </c>
      <c r="I1" s="1">
        <v>7</v>
      </c>
      <c r="J1">
        <v>8</v>
      </c>
      <c r="K1" s="1">
        <v>9</v>
      </c>
      <c r="L1" s="1">
        <v>10</v>
      </c>
      <c r="M1">
        <v>11</v>
      </c>
      <c r="N1" s="1">
        <v>12</v>
      </c>
      <c r="O1" s="1">
        <v>13</v>
      </c>
      <c r="P1">
        <v>14</v>
      </c>
      <c r="Q1" s="1">
        <v>15</v>
      </c>
      <c r="R1">
        <v>16</v>
      </c>
      <c r="S1" s="1">
        <v>17</v>
      </c>
      <c r="T1">
        <v>18</v>
      </c>
      <c r="U1" s="1">
        <v>19</v>
      </c>
      <c r="V1">
        <v>20</v>
      </c>
      <c r="W1" s="1">
        <v>21</v>
      </c>
      <c r="X1">
        <v>22</v>
      </c>
      <c r="Y1" s="1">
        <v>23</v>
      </c>
      <c r="Z1">
        <v>24</v>
      </c>
      <c r="AA1" s="1">
        <v>25</v>
      </c>
      <c r="AB1">
        <v>26</v>
      </c>
      <c r="AC1" s="1">
        <v>27</v>
      </c>
      <c r="AD1">
        <v>28</v>
      </c>
      <c r="AE1" s="1">
        <v>29</v>
      </c>
      <c r="AF1">
        <v>30</v>
      </c>
      <c r="AG1" s="1">
        <v>31</v>
      </c>
    </row>
    <row r="2" spans="1:33" x14ac:dyDescent="0.2">
      <c r="A2" s="1" t="s">
        <v>2</v>
      </c>
      <c r="B2" s="1" t="s">
        <v>14</v>
      </c>
      <c r="C2" s="1" t="s">
        <v>15</v>
      </c>
      <c r="D2" t="s">
        <v>16</v>
      </c>
      <c r="E2" s="1" t="s">
        <v>22</v>
      </c>
      <c r="F2" t="s">
        <v>38</v>
      </c>
      <c r="G2" t="s">
        <v>574</v>
      </c>
      <c r="H2" t="s">
        <v>575</v>
      </c>
      <c r="I2" t="s">
        <v>576</v>
      </c>
      <c r="J2" t="s">
        <v>577</v>
      </c>
      <c r="K2" t="s">
        <v>578</v>
      </c>
      <c r="L2" t="s">
        <v>579</v>
      </c>
      <c r="M2" t="s">
        <v>580</v>
      </c>
      <c r="N2" t="s">
        <v>581</v>
      </c>
      <c r="O2" t="s">
        <v>582</v>
      </c>
      <c r="P2" t="s">
        <v>583</v>
      </c>
      <c r="Q2" t="s">
        <v>140</v>
      </c>
      <c r="R2" t="s">
        <v>673</v>
      </c>
      <c r="S2" t="s">
        <v>254</v>
      </c>
      <c r="T2" t="s">
        <v>144</v>
      </c>
      <c r="U2" t="s">
        <v>674</v>
      </c>
      <c r="V2" t="s">
        <v>255</v>
      </c>
      <c r="W2" t="s">
        <v>182</v>
      </c>
      <c r="X2" t="s">
        <v>675</v>
      </c>
      <c r="Y2" t="s">
        <v>256</v>
      </c>
      <c r="Z2" t="s">
        <v>149</v>
      </c>
      <c r="AA2" t="s">
        <v>32</v>
      </c>
      <c r="AB2" t="s">
        <v>34</v>
      </c>
      <c r="AC2" t="s">
        <v>35</v>
      </c>
      <c r="AD2" t="s">
        <v>24</v>
      </c>
      <c r="AE2" t="s">
        <v>25</v>
      </c>
      <c r="AF2" t="s">
        <v>26</v>
      </c>
      <c r="AG2" s="1" t="s">
        <v>17</v>
      </c>
    </row>
    <row r="3" spans="1:33" ht="109.5" customHeight="1" x14ac:dyDescent="0.2">
      <c r="A3" s="1" t="s">
        <v>3</v>
      </c>
      <c r="B3" s="1"/>
      <c r="C3" s="1"/>
      <c r="D3" t="s">
        <v>139</v>
      </c>
      <c r="E3" s="9" t="s">
        <v>207</v>
      </c>
      <c r="F3" t="s">
        <v>39</v>
      </c>
      <c r="G3" t="s">
        <v>21</v>
      </c>
      <c r="H3" t="s">
        <v>21</v>
      </c>
      <c r="I3" t="s">
        <v>21</v>
      </c>
      <c r="J3" t="s">
        <v>21</v>
      </c>
      <c r="K3" t="s">
        <v>21</v>
      </c>
      <c r="L3" t="s">
        <v>21</v>
      </c>
      <c r="M3" t="s">
        <v>21</v>
      </c>
      <c r="N3" t="s">
        <v>21</v>
      </c>
      <c r="O3" t="s">
        <v>21</v>
      </c>
      <c r="P3" t="s">
        <v>21</v>
      </c>
    </row>
    <row r="4" spans="1:33" x14ac:dyDescent="0.2">
      <c r="A4" s="1" t="s">
        <v>4</v>
      </c>
      <c r="B4" s="1"/>
      <c r="C4" s="1"/>
      <c r="Z4" t="s">
        <v>150</v>
      </c>
    </row>
    <row r="5" spans="1:33" x14ac:dyDescent="0.2">
      <c r="A5" s="1" t="s">
        <v>5</v>
      </c>
      <c r="B5" s="1" t="s">
        <v>6</v>
      </c>
      <c r="C5" s="1" t="s">
        <v>12</v>
      </c>
      <c r="D5" s="1" t="s">
        <v>13</v>
      </c>
      <c r="E5" s="1" t="s">
        <v>13</v>
      </c>
      <c r="F5" s="1" t="s">
        <v>13</v>
      </c>
      <c r="G5" s="1" t="s">
        <v>31</v>
      </c>
      <c r="H5" s="1" t="s">
        <v>31</v>
      </c>
      <c r="I5" s="1" t="s">
        <v>31</v>
      </c>
      <c r="J5" s="1" t="s">
        <v>31</v>
      </c>
      <c r="K5" s="1" t="s">
        <v>31</v>
      </c>
      <c r="L5" s="1" t="s">
        <v>31</v>
      </c>
      <c r="M5" s="1" t="s">
        <v>31</v>
      </c>
      <c r="N5" s="1" t="s">
        <v>31</v>
      </c>
      <c r="O5" s="1" t="s">
        <v>31</v>
      </c>
      <c r="P5" s="1" t="s">
        <v>31</v>
      </c>
      <c r="Q5" s="1" t="s">
        <v>31</v>
      </c>
      <c r="R5" s="1" t="s">
        <v>31</v>
      </c>
      <c r="S5" s="1" t="s">
        <v>31</v>
      </c>
      <c r="T5" s="1" t="s">
        <v>31</v>
      </c>
      <c r="U5" s="1" t="s">
        <v>31</v>
      </c>
      <c r="V5" s="1" t="s">
        <v>31</v>
      </c>
      <c r="W5" s="1" t="s">
        <v>31</v>
      </c>
      <c r="X5" s="1" t="s">
        <v>31</v>
      </c>
      <c r="Y5" s="1" t="s">
        <v>31</v>
      </c>
      <c r="Z5" s="1"/>
      <c r="AA5" s="1" t="s">
        <v>31</v>
      </c>
      <c r="AB5" s="1" t="s">
        <v>13</v>
      </c>
      <c r="AC5" s="1" t="s">
        <v>13</v>
      </c>
      <c r="AD5" s="1" t="s">
        <v>13</v>
      </c>
      <c r="AE5" s="1" t="s">
        <v>30</v>
      </c>
      <c r="AF5" s="1" t="s">
        <v>13</v>
      </c>
      <c r="AG5" s="1" t="s">
        <v>18</v>
      </c>
    </row>
    <row r="6" spans="1:33" x14ac:dyDescent="0.2">
      <c r="A6" s="1" t="s">
        <v>7</v>
      </c>
      <c r="B6" s="1" t="s">
        <v>8</v>
      </c>
      <c r="C6" s="1" t="s">
        <v>9</v>
      </c>
      <c r="D6" t="s">
        <v>19</v>
      </c>
      <c r="E6" t="s">
        <v>23</v>
      </c>
      <c r="F6" t="s">
        <v>40</v>
      </c>
      <c r="G6" s="13" t="s">
        <v>564</v>
      </c>
      <c r="H6" s="13" t="s">
        <v>565</v>
      </c>
      <c r="I6" s="13" t="s">
        <v>566</v>
      </c>
      <c r="J6" s="13" t="s">
        <v>567</v>
      </c>
      <c r="K6" s="13" t="s">
        <v>568</v>
      </c>
      <c r="L6" s="13" t="s">
        <v>569</v>
      </c>
      <c r="M6" s="13" t="s">
        <v>570</v>
      </c>
      <c r="N6" s="13" t="s">
        <v>571</v>
      </c>
      <c r="O6" s="13" t="s">
        <v>572</v>
      </c>
      <c r="P6" s="13" t="s">
        <v>573</v>
      </c>
      <c r="Q6" t="s">
        <v>140</v>
      </c>
      <c r="R6" t="s">
        <v>673</v>
      </c>
      <c r="S6" t="s">
        <v>254</v>
      </c>
      <c r="T6" t="s">
        <v>144</v>
      </c>
      <c r="U6" t="s">
        <v>674</v>
      </c>
      <c r="V6" t="s">
        <v>255</v>
      </c>
      <c r="W6" t="s">
        <v>182</v>
      </c>
      <c r="X6" t="s">
        <v>675</v>
      </c>
      <c r="Y6" t="s">
        <v>256</v>
      </c>
      <c r="Z6" t="s">
        <v>148</v>
      </c>
      <c r="AA6" t="s">
        <v>33</v>
      </c>
      <c r="AB6" t="s">
        <v>36</v>
      </c>
      <c r="AC6" t="s">
        <v>37</v>
      </c>
      <c r="AD6" t="s">
        <v>28</v>
      </c>
      <c r="AE6" t="s">
        <v>29</v>
      </c>
      <c r="AF6" t="s">
        <v>27</v>
      </c>
      <c r="AG6" t="s">
        <v>20</v>
      </c>
    </row>
    <row r="7" spans="1:33" x14ac:dyDescent="0.2">
      <c r="B7">
        <f>ID编号[id编号]*10000+ROW()-6</f>
        <v>1040001</v>
      </c>
      <c r="C7" s="2" t="s">
        <v>41</v>
      </c>
      <c r="D7">
        <v>0</v>
      </c>
      <c r="E7">
        <v>1</v>
      </c>
      <c r="F7">
        <v>0</v>
      </c>
      <c r="G7" s="14" t="s">
        <v>621</v>
      </c>
      <c r="H7" s="14"/>
      <c r="I7" s="14" t="s">
        <v>622</v>
      </c>
      <c r="J7" s="14" t="s">
        <v>622</v>
      </c>
      <c r="K7" s="14" t="s">
        <v>622</v>
      </c>
      <c r="L7" s="14" t="s">
        <v>622</v>
      </c>
      <c r="M7" s="14" t="s">
        <v>622</v>
      </c>
      <c r="N7" s="14" t="s">
        <v>622</v>
      </c>
      <c r="O7" s="14" t="s">
        <v>622</v>
      </c>
      <c r="P7" s="14" t="s">
        <v>622</v>
      </c>
      <c r="Q7" s="1" t="s">
        <v>685</v>
      </c>
      <c r="R7" s="1" t="s">
        <v>679</v>
      </c>
      <c r="S7" t="s">
        <v>141</v>
      </c>
      <c r="Z7" s="1"/>
      <c r="AG7" s="1" t="s">
        <v>296</v>
      </c>
    </row>
    <row r="8" spans="1:33" x14ac:dyDescent="0.2">
      <c r="B8">
        <f>ID编号[id编号]*10000+ROW()-6</f>
        <v>1040002</v>
      </c>
      <c r="C8" s="2" t="s">
        <v>42</v>
      </c>
      <c r="D8">
        <v>0</v>
      </c>
      <c r="E8">
        <v>4</v>
      </c>
      <c r="F8">
        <v>1</v>
      </c>
      <c r="G8" s="14" t="s">
        <v>622</v>
      </c>
      <c r="H8" s="14" t="s">
        <v>621</v>
      </c>
      <c r="I8" s="14" t="s">
        <v>622</v>
      </c>
      <c r="J8" s="14" t="s">
        <v>622</v>
      </c>
      <c r="K8" s="14" t="s">
        <v>622</v>
      </c>
      <c r="L8" s="14" t="s">
        <v>622</v>
      </c>
      <c r="M8" s="14" t="s">
        <v>622</v>
      </c>
      <c r="N8" s="14" t="s">
        <v>622</v>
      </c>
      <c r="O8" s="14" t="s">
        <v>622</v>
      </c>
      <c r="P8" s="14" t="s">
        <v>622</v>
      </c>
      <c r="Q8" s="1" t="s">
        <v>686</v>
      </c>
      <c r="R8" s="1" t="s">
        <v>680</v>
      </c>
      <c r="S8" t="s">
        <v>225</v>
      </c>
      <c r="Z8" s="1"/>
      <c r="AG8" s="1" t="s">
        <v>297</v>
      </c>
    </row>
    <row r="9" spans="1:33" x14ac:dyDescent="0.2">
      <c r="B9">
        <f>ID编号[id编号]*10000+ROW()-6</f>
        <v>1040003</v>
      </c>
      <c r="C9" s="2" t="s">
        <v>43</v>
      </c>
      <c r="D9">
        <v>0</v>
      </c>
      <c r="E9">
        <v>9</v>
      </c>
      <c r="F9">
        <v>0</v>
      </c>
      <c r="G9" s="14" t="s">
        <v>621</v>
      </c>
      <c r="H9" s="14" t="s">
        <v>622</v>
      </c>
      <c r="I9" s="14" t="s">
        <v>622</v>
      </c>
      <c r="J9" s="14" t="s">
        <v>622</v>
      </c>
      <c r="K9" s="14" t="s">
        <v>622</v>
      </c>
      <c r="L9" s="14" t="s">
        <v>622</v>
      </c>
      <c r="M9" s="14" t="s">
        <v>622</v>
      </c>
      <c r="N9" s="14" t="s">
        <v>622</v>
      </c>
      <c r="O9" s="14" t="s">
        <v>622</v>
      </c>
      <c r="P9" s="14" t="s">
        <v>622</v>
      </c>
      <c r="Q9" s="1" t="s">
        <v>685</v>
      </c>
      <c r="R9" s="1" t="s">
        <v>679</v>
      </c>
      <c r="S9" t="s">
        <v>141</v>
      </c>
      <c r="Z9" s="1"/>
      <c r="AG9" s="1" t="s">
        <v>298</v>
      </c>
    </row>
    <row r="10" spans="1:33" x14ac:dyDescent="0.2">
      <c r="B10">
        <f>ID编号[id编号]*10000+ROW()-6</f>
        <v>1040004</v>
      </c>
      <c r="C10" s="2" t="s">
        <v>44</v>
      </c>
      <c r="D10">
        <v>0</v>
      </c>
      <c r="E10">
        <v>11</v>
      </c>
      <c r="F10">
        <v>1</v>
      </c>
      <c r="G10" s="14" t="s">
        <v>622</v>
      </c>
      <c r="H10" s="14" t="s">
        <v>621</v>
      </c>
      <c r="I10" s="14" t="s">
        <v>622</v>
      </c>
      <c r="J10" s="14" t="s">
        <v>622</v>
      </c>
      <c r="K10" s="14" t="s">
        <v>622</v>
      </c>
      <c r="L10" s="14" t="s">
        <v>622</v>
      </c>
      <c r="M10" s="14" t="s">
        <v>622</v>
      </c>
      <c r="N10" s="14" t="s">
        <v>622</v>
      </c>
      <c r="O10" s="14" t="s">
        <v>622</v>
      </c>
      <c r="P10" s="14" t="s">
        <v>622</v>
      </c>
      <c r="Q10" s="1" t="s">
        <v>686</v>
      </c>
      <c r="R10" s="1" t="s">
        <v>680</v>
      </c>
      <c r="S10" t="s">
        <v>225</v>
      </c>
      <c r="Z10" s="1"/>
      <c r="AG10" s="1" t="s">
        <v>299</v>
      </c>
    </row>
    <row r="11" spans="1:33" x14ac:dyDescent="0.2">
      <c r="B11">
        <f>ID编号[id编号]*10000+ROW()-6</f>
        <v>1040005</v>
      </c>
      <c r="C11" s="2" t="s">
        <v>45</v>
      </c>
      <c r="D11">
        <v>0</v>
      </c>
      <c r="E11">
        <v>13</v>
      </c>
      <c r="G11" s="14" t="s">
        <v>622</v>
      </c>
      <c r="H11" s="14" t="s">
        <v>622</v>
      </c>
      <c r="I11" s="14" t="s">
        <v>622</v>
      </c>
      <c r="J11" s="14" t="s">
        <v>622</v>
      </c>
      <c r="K11" s="14" t="s">
        <v>623</v>
      </c>
      <c r="L11" s="14" t="s">
        <v>623</v>
      </c>
      <c r="M11" s="14" t="s">
        <v>622</v>
      </c>
      <c r="N11" s="14" t="s">
        <v>622</v>
      </c>
      <c r="O11" s="14" t="s">
        <v>624</v>
      </c>
      <c r="P11" s="14" t="s">
        <v>622</v>
      </c>
      <c r="Q11" s="1" t="s">
        <v>688</v>
      </c>
      <c r="R11" s="1" t="s">
        <v>681</v>
      </c>
      <c r="S11" t="s">
        <v>237</v>
      </c>
      <c r="Z11" s="1"/>
      <c r="AG11" s="1" t="s">
        <v>302</v>
      </c>
    </row>
    <row r="12" spans="1:33" x14ac:dyDescent="0.2">
      <c r="B12">
        <f>ID编号[id编号]*10000+ROW()-6</f>
        <v>1040006</v>
      </c>
      <c r="C12" s="2" t="s">
        <v>46</v>
      </c>
      <c r="D12">
        <v>0</v>
      </c>
      <c r="E12">
        <v>14</v>
      </c>
      <c r="G12" s="14" t="s">
        <v>622</v>
      </c>
      <c r="H12" s="14" t="s">
        <v>622</v>
      </c>
      <c r="I12" s="14" t="s">
        <v>623</v>
      </c>
      <c r="J12" s="14" t="s">
        <v>623</v>
      </c>
      <c r="K12" s="14" t="s">
        <v>622</v>
      </c>
      <c r="L12" s="14" t="s">
        <v>622</v>
      </c>
      <c r="M12" s="14" t="s">
        <v>625</v>
      </c>
      <c r="N12" s="14" t="s">
        <v>625</v>
      </c>
      <c r="O12" s="14" t="s">
        <v>622</v>
      </c>
      <c r="P12" s="14" t="s">
        <v>622</v>
      </c>
      <c r="Q12" s="1" t="s">
        <v>688</v>
      </c>
      <c r="R12" s="1" t="s">
        <v>681</v>
      </c>
      <c r="S12" t="s">
        <v>237</v>
      </c>
      <c r="Z12" s="1"/>
      <c r="AG12" s="1" t="s">
        <v>302</v>
      </c>
    </row>
    <row r="13" spans="1:33" x14ac:dyDescent="0.2">
      <c r="B13">
        <f>ID编号[id编号]*10000+ROW()-6</f>
        <v>1040007</v>
      </c>
      <c r="C13" s="2" t="s">
        <v>47</v>
      </c>
      <c r="D13">
        <v>0</v>
      </c>
      <c r="E13">
        <v>15</v>
      </c>
      <c r="G13" s="14" t="s">
        <v>622</v>
      </c>
      <c r="H13" s="14" t="s">
        <v>622</v>
      </c>
      <c r="I13" s="14" t="s">
        <v>623</v>
      </c>
      <c r="J13" s="14" t="s">
        <v>623</v>
      </c>
      <c r="K13" s="14" t="s">
        <v>622</v>
      </c>
      <c r="L13" s="14" t="s">
        <v>622</v>
      </c>
      <c r="M13" s="14" t="s">
        <v>625</v>
      </c>
      <c r="N13" s="14" t="s">
        <v>625</v>
      </c>
      <c r="O13" s="14" t="s">
        <v>622</v>
      </c>
      <c r="P13" s="14" t="s">
        <v>622</v>
      </c>
      <c r="Q13" s="1" t="s">
        <v>687</v>
      </c>
      <c r="R13" s="1" t="s">
        <v>681</v>
      </c>
      <c r="S13" t="s">
        <v>237</v>
      </c>
      <c r="Z13" s="1"/>
      <c r="AG13" s="1" t="s">
        <v>302</v>
      </c>
    </row>
    <row r="14" spans="1:33" x14ac:dyDescent="0.2">
      <c r="B14">
        <f>ID编号[id编号]*10000+ROW()-6</f>
        <v>1040008</v>
      </c>
      <c r="C14" s="2" t="s">
        <v>48</v>
      </c>
      <c r="D14">
        <v>0</v>
      </c>
      <c r="E14">
        <v>16</v>
      </c>
      <c r="G14" s="14" t="s">
        <v>622</v>
      </c>
      <c r="H14" s="14" t="s">
        <v>622</v>
      </c>
      <c r="I14" s="14" t="s">
        <v>622</v>
      </c>
      <c r="J14" s="14" t="s">
        <v>622</v>
      </c>
      <c r="K14" s="14" t="s">
        <v>622</v>
      </c>
      <c r="L14" s="14" t="s">
        <v>622</v>
      </c>
      <c r="M14" s="14" t="s">
        <v>622</v>
      </c>
      <c r="N14" s="14" t="s">
        <v>622</v>
      </c>
      <c r="O14" s="14" t="s">
        <v>624</v>
      </c>
      <c r="P14" s="14" t="s">
        <v>623</v>
      </c>
      <c r="Q14" s="1" t="s">
        <v>687</v>
      </c>
      <c r="R14" s="1" t="s">
        <v>681</v>
      </c>
      <c r="S14" t="s">
        <v>237</v>
      </c>
      <c r="Z14" s="1"/>
      <c r="AG14" s="1" t="s">
        <v>302</v>
      </c>
    </row>
    <row r="15" spans="1:33" x14ac:dyDescent="0.2">
      <c r="B15">
        <f>ID编号[id编号]*10000+ROW()-6</f>
        <v>1040009</v>
      </c>
      <c r="C15" s="2" t="s">
        <v>49</v>
      </c>
      <c r="D15">
        <v>1</v>
      </c>
      <c r="E15">
        <v>3</v>
      </c>
      <c r="F15">
        <v>0</v>
      </c>
      <c r="G15" s="14" t="s">
        <v>621</v>
      </c>
      <c r="H15" s="14" t="s">
        <v>622</v>
      </c>
      <c r="I15" s="14" t="s">
        <v>622</v>
      </c>
      <c r="J15" s="14" t="s">
        <v>622</v>
      </c>
      <c r="K15" s="14" t="s">
        <v>622</v>
      </c>
      <c r="L15" s="14" t="s">
        <v>622</v>
      </c>
      <c r="M15" s="14" t="s">
        <v>622</v>
      </c>
      <c r="N15" s="14" t="s">
        <v>622</v>
      </c>
      <c r="O15" s="14" t="s">
        <v>622</v>
      </c>
      <c r="P15" s="14" t="s">
        <v>622</v>
      </c>
      <c r="Q15" s="1" t="s">
        <v>678</v>
      </c>
      <c r="R15" s="1" t="s">
        <v>679</v>
      </c>
      <c r="S15" t="s">
        <v>142</v>
      </c>
      <c r="Z15" s="1"/>
      <c r="AG15" s="1" t="s">
        <v>303</v>
      </c>
    </row>
    <row r="16" spans="1:33" x14ac:dyDescent="0.2">
      <c r="B16">
        <f>ID编号[id编号]*10000+ROW()-6</f>
        <v>1040010</v>
      </c>
      <c r="C16" s="2" t="s">
        <v>50</v>
      </c>
      <c r="D16">
        <v>1</v>
      </c>
      <c r="E16">
        <v>7</v>
      </c>
      <c r="F16">
        <v>0</v>
      </c>
      <c r="G16" s="14" t="s">
        <v>621</v>
      </c>
      <c r="H16" s="14" t="s">
        <v>622</v>
      </c>
      <c r="I16" s="14" t="s">
        <v>622</v>
      </c>
      <c r="J16" s="14" t="s">
        <v>622</v>
      </c>
      <c r="K16" s="14" t="s">
        <v>622</v>
      </c>
      <c r="L16" s="14" t="s">
        <v>622</v>
      </c>
      <c r="M16" s="14" t="s">
        <v>622</v>
      </c>
      <c r="N16" s="14" t="s">
        <v>622</v>
      </c>
      <c r="O16" s="14" t="s">
        <v>622</v>
      </c>
      <c r="P16" s="14" t="s">
        <v>622</v>
      </c>
      <c r="Q16" s="1" t="s">
        <v>689</v>
      </c>
      <c r="R16" s="1" t="s">
        <v>680</v>
      </c>
      <c r="S16" t="s">
        <v>226</v>
      </c>
      <c r="Z16" s="1"/>
      <c r="AG16" s="1" t="s">
        <v>304</v>
      </c>
    </row>
    <row r="17" spans="2:33" x14ac:dyDescent="0.2">
      <c r="B17">
        <f>ID编号[id编号]*10000+ROW()-6</f>
        <v>1040011</v>
      </c>
      <c r="C17" s="2" t="s">
        <v>51</v>
      </c>
      <c r="D17">
        <v>1</v>
      </c>
      <c r="E17">
        <v>6</v>
      </c>
      <c r="F17">
        <v>1</v>
      </c>
      <c r="G17" s="14" t="s">
        <v>622</v>
      </c>
      <c r="H17" s="14" t="s">
        <v>621</v>
      </c>
      <c r="I17" s="14" t="s">
        <v>622</v>
      </c>
      <c r="J17" s="14" t="s">
        <v>622</v>
      </c>
      <c r="K17" s="14" t="s">
        <v>622</v>
      </c>
      <c r="L17" s="14" t="s">
        <v>622</v>
      </c>
      <c r="M17" s="14" t="s">
        <v>622</v>
      </c>
      <c r="N17" s="14" t="s">
        <v>622</v>
      </c>
      <c r="O17" s="14" t="s">
        <v>622</v>
      </c>
      <c r="P17" s="14" t="s">
        <v>622</v>
      </c>
      <c r="Q17" s="1" t="s">
        <v>678</v>
      </c>
      <c r="R17" s="1" t="s">
        <v>679</v>
      </c>
      <c r="S17" t="s">
        <v>142</v>
      </c>
      <c r="Z17" s="1"/>
      <c r="AG17" s="1" t="s">
        <v>305</v>
      </c>
    </row>
    <row r="18" spans="2:33" x14ac:dyDescent="0.2">
      <c r="B18">
        <f>ID编号[id编号]*10000+ROW()-6</f>
        <v>1040012</v>
      </c>
      <c r="C18" s="2" t="s">
        <v>52</v>
      </c>
      <c r="D18">
        <v>1</v>
      </c>
      <c r="E18">
        <v>9</v>
      </c>
      <c r="F18">
        <v>0</v>
      </c>
      <c r="G18" s="14" t="s">
        <v>621</v>
      </c>
      <c r="H18" s="14" t="s">
        <v>622</v>
      </c>
      <c r="I18" s="14" t="s">
        <v>622</v>
      </c>
      <c r="J18" s="14" t="s">
        <v>622</v>
      </c>
      <c r="K18" s="14" t="s">
        <v>622</v>
      </c>
      <c r="L18" s="14" t="s">
        <v>622</v>
      </c>
      <c r="M18" s="14" t="s">
        <v>622</v>
      </c>
      <c r="N18" s="14" t="s">
        <v>622</v>
      </c>
      <c r="O18" s="14" t="s">
        <v>622</v>
      </c>
      <c r="P18" s="14" t="s">
        <v>622</v>
      </c>
      <c r="Q18" s="1" t="s">
        <v>689</v>
      </c>
      <c r="R18" s="1" t="s">
        <v>680</v>
      </c>
      <c r="S18" t="s">
        <v>226</v>
      </c>
      <c r="Z18" s="1"/>
      <c r="AG18" s="1" t="s">
        <v>306</v>
      </c>
    </row>
    <row r="19" spans="2:33" x14ac:dyDescent="0.2">
      <c r="B19">
        <f>ID编号[id编号]*10000+ROW()-6</f>
        <v>1040013</v>
      </c>
      <c r="C19" s="2" t="s">
        <v>53</v>
      </c>
      <c r="D19">
        <v>1</v>
      </c>
      <c r="E19">
        <v>10</v>
      </c>
      <c r="F19">
        <v>0</v>
      </c>
      <c r="G19" s="14" t="s">
        <v>626</v>
      </c>
      <c r="H19" s="14" t="s">
        <v>622</v>
      </c>
      <c r="I19" s="14" t="s">
        <v>622</v>
      </c>
      <c r="J19" s="14" t="s">
        <v>622</v>
      </c>
      <c r="K19" s="14" t="s">
        <v>622</v>
      </c>
      <c r="L19" s="14" t="s">
        <v>622</v>
      </c>
      <c r="M19" s="14" t="s">
        <v>622</v>
      </c>
      <c r="N19" s="14" t="s">
        <v>622</v>
      </c>
      <c r="O19" s="14" t="s">
        <v>622</v>
      </c>
      <c r="P19" s="14" t="s">
        <v>622</v>
      </c>
      <c r="Q19" s="1" t="s">
        <v>692</v>
      </c>
      <c r="R19" s="1" t="s">
        <v>679</v>
      </c>
      <c r="S19" t="s">
        <v>143</v>
      </c>
      <c r="Z19" s="1"/>
      <c r="AG19" s="1" t="s">
        <v>307</v>
      </c>
    </row>
    <row r="20" spans="2:33" x14ac:dyDescent="0.2">
      <c r="B20">
        <f>ID编号[id编号]*10000+ROW()-6</f>
        <v>1040014</v>
      </c>
      <c r="C20" s="2" t="s">
        <v>54</v>
      </c>
      <c r="D20">
        <v>1</v>
      </c>
      <c r="E20">
        <v>11</v>
      </c>
      <c r="F20">
        <v>1</v>
      </c>
      <c r="G20" s="14" t="s">
        <v>622</v>
      </c>
      <c r="H20" s="14" t="s">
        <v>621</v>
      </c>
      <c r="I20" s="14" t="s">
        <v>622</v>
      </c>
      <c r="J20" s="14" t="s">
        <v>622</v>
      </c>
      <c r="K20" s="14" t="s">
        <v>622</v>
      </c>
      <c r="L20" s="14" t="s">
        <v>622</v>
      </c>
      <c r="M20" s="14" t="s">
        <v>622</v>
      </c>
      <c r="N20" s="14" t="s">
        <v>622</v>
      </c>
      <c r="O20" s="14" t="s">
        <v>622</v>
      </c>
      <c r="P20" s="14" t="s">
        <v>622</v>
      </c>
      <c r="Q20" s="1" t="s">
        <v>693</v>
      </c>
      <c r="R20" s="1" t="s">
        <v>680</v>
      </c>
      <c r="S20" t="s">
        <v>225</v>
      </c>
      <c r="Z20" s="1"/>
      <c r="AG20" s="1" t="s">
        <v>308</v>
      </c>
    </row>
    <row r="21" spans="2:33" x14ac:dyDescent="0.2">
      <c r="B21">
        <f>ID编号[id编号]*10000+ROW()-6</f>
        <v>1040015</v>
      </c>
      <c r="C21" s="2" t="s">
        <v>55</v>
      </c>
      <c r="D21">
        <v>1</v>
      </c>
      <c r="E21">
        <v>12</v>
      </c>
      <c r="F21">
        <v>1</v>
      </c>
      <c r="G21" s="14" t="s">
        <v>622</v>
      </c>
      <c r="H21" s="14" t="s">
        <v>626</v>
      </c>
      <c r="I21" s="14" t="s">
        <v>622</v>
      </c>
      <c r="J21" s="14" t="s">
        <v>622</v>
      </c>
      <c r="K21" s="14" t="s">
        <v>622</v>
      </c>
      <c r="L21" s="14" t="s">
        <v>622</v>
      </c>
      <c r="M21" s="14" t="s">
        <v>622</v>
      </c>
      <c r="N21" s="14" t="s">
        <v>622</v>
      </c>
      <c r="O21" s="14" t="s">
        <v>622</v>
      </c>
      <c r="P21" s="14" t="s">
        <v>622</v>
      </c>
      <c r="Q21" s="1" t="s">
        <v>692</v>
      </c>
      <c r="R21" s="1" t="s">
        <v>679</v>
      </c>
      <c r="S21" t="s">
        <v>143</v>
      </c>
      <c r="Z21" s="1"/>
      <c r="AG21" s="1" t="s">
        <v>309</v>
      </c>
    </row>
    <row r="22" spans="2:33" x14ac:dyDescent="0.2">
      <c r="B22">
        <f>ID编号[id编号]*10000+ROW()-6</f>
        <v>1040016</v>
      </c>
      <c r="C22" s="2" t="s">
        <v>56</v>
      </c>
      <c r="D22">
        <v>1</v>
      </c>
      <c r="E22">
        <v>13</v>
      </c>
      <c r="G22" s="14" t="s">
        <v>622</v>
      </c>
      <c r="H22" s="14" t="s">
        <v>622</v>
      </c>
      <c r="I22" s="14" t="s">
        <v>622</v>
      </c>
      <c r="J22" s="14" t="s">
        <v>622</v>
      </c>
      <c r="K22" s="14" t="s">
        <v>623</v>
      </c>
      <c r="L22" s="14" t="s">
        <v>623</v>
      </c>
      <c r="M22" s="14" t="s">
        <v>622</v>
      </c>
      <c r="N22" s="14" t="s">
        <v>622</v>
      </c>
      <c r="O22" s="14" t="s">
        <v>624</v>
      </c>
      <c r="P22" s="14" t="s">
        <v>622</v>
      </c>
      <c r="Q22" s="1" t="s">
        <v>694</v>
      </c>
      <c r="R22" s="1" t="s">
        <v>682</v>
      </c>
      <c r="S22" t="s">
        <v>238</v>
      </c>
      <c r="Z22" s="1"/>
      <c r="AG22" s="1" t="s">
        <v>310</v>
      </c>
    </row>
    <row r="23" spans="2:33" x14ac:dyDescent="0.2">
      <c r="B23">
        <f>ID编号[id编号]*10000+ROW()-6</f>
        <v>1040017</v>
      </c>
      <c r="C23" s="2" t="s">
        <v>618</v>
      </c>
      <c r="D23">
        <v>1</v>
      </c>
      <c r="E23">
        <v>14</v>
      </c>
      <c r="G23" s="14" t="s">
        <v>622</v>
      </c>
      <c r="H23" s="14" t="s">
        <v>622</v>
      </c>
      <c r="I23" s="14" t="s">
        <v>623</v>
      </c>
      <c r="J23" s="14" t="s">
        <v>623</v>
      </c>
      <c r="K23" s="14" t="s">
        <v>622</v>
      </c>
      <c r="L23" s="14" t="s">
        <v>622</v>
      </c>
      <c r="M23" s="14" t="s">
        <v>625</v>
      </c>
      <c r="N23" s="14" t="s">
        <v>625</v>
      </c>
      <c r="O23" s="14" t="s">
        <v>622</v>
      </c>
      <c r="P23" s="14" t="s">
        <v>622</v>
      </c>
      <c r="Q23" s="1" t="s">
        <v>694</v>
      </c>
      <c r="R23" s="1" t="s">
        <v>682</v>
      </c>
      <c r="S23" t="s">
        <v>238</v>
      </c>
      <c r="Z23" s="1"/>
      <c r="AG23" s="1" t="s">
        <v>310</v>
      </c>
    </row>
    <row r="24" spans="2:33" x14ac:dyDescent="0.2">
      <c r="B24">
        <f>ID编号[id编号]*10000+ROW()-6</f>
        <v>1040018</v>
      </c>
      <c r="C24" s="2" t="s">
        <v>620</v>
      </c>
      <c r="D24">
        <v>1</v>
      </c>
      <c r="E24">
        <v>15</v>
      </c>
      <c r="G24" s="14" t="s">
        <v>622</v>
      </c>
      <c r="H24" s="14" t="s">
        <v>622</v>
      </c>
      <c r="I24" s="14" t="s">
        <v>623</v>
      </c>
      <c r="J24" s="14" t="s">
        <v>623</v>
      </c>
      <c r="K24" s="14" t="s">
        <v>622</v>
      </c>
      <c r="L24" s="14" t="s">
        <v>622</v>
      </c>
      <c r="M24" s="14" t="s">
        <v>625</v>
      </c>
      <c r="N24" s="14" t="s">
        <v>625</v>
      </c>
      <c r="O24" s="14" t="s">
        <v>622</v>
      </c>
      <c r="P24" s="14" t="s">
        <v>622</v>
      </c>
      <c r="Q24" s="1" t="s">
        <v>694</v>
      </c>
      <c r="R24" s="1" t="s">
        <v>682</v>
      </c>
      <c r="S24" t="s">
        <v>238</v>
      </c>
      <c r="Z24" s="1"/>
      <c r="AG24" s="1" t="s">
        <v>310</v>
      </c>
    </row>
    <row r="25" spans="2:33" x14ac:dyDescent="0.2">
      <c r="B25">
        <f>ID编号[id编号]*10000+ROW()-6</f>
        <v>1040019</v>
      </c>
      <c r="C25" s="2" t="s">
        <v>57</v>
      </c>
      <c r="D25">
        <v>1</v>
      </c>
      <c r="E25">
        <v>16</v>
      </c>
      <c r="G25" s="14" t="s">
        <v>622</v>
      </c>
      <c r="H25" s="14" t="s">
        <v>622</v>
      </c>
      <c r="I25" s="14" t="s">
        <v>622</v>
      </c>
      <c r="J25" s="14" t="s">
        <v>622</v>
      </c>
      <c r="K25" s="14" t="s">
        <v>622</v>
      </c>
      <c r="L25" s="14" t="s">
        <v>622</v>
      </c>
      <c r="M25" s="14" t="s">
        <v>622</v>
      </c>
      <c r="N25" s="14" t="s">
        <v>622</v>
      </c>
      <c r="O25" s="14" t="s">
        <v>624</v>
      </c>
      <c r="P25" s="14" t="s">
        <v>623</v>
      </c>
      <c r="Q25" s="1" t="s">
        <v>694</v>
      </c>
      <c r="R25" s="1" t="s">
        <v>682</v>
      </c>
      <c r="S25" t="s">
        <v>238</v>
      </c>
      <c r="Z25" s="1"/>
      <c r="AG25" s="1" t="s">
        <v>310</v>
      </c>
    </row>
    <row r="26" spans="2:33" x14ac:dyDescent="0.2">
      <c r="B26">
        <f>ID编号[id编号]*10000+ROW()-6</f>
        <v>1040020</v>
      </c>
      <c r="C26" s="2" t="s">
        <v>59</v>
      </c>
      <c r="D26">
        <v>2</v>
      </c>
      <c r="E26">
        <v>4</v>
      </c>
      <c r="F26">
        <v>0</v>
      </c>
      <c r="G26" s="14" t="s">
        <v>627</v>
      </c>
      <c r="H26" s="14" t="s">
        <v>622</v>
      </c>
      <c r="I26" s="14" t="s">
        <v>622</v>
      </c>
      <c r="J26" s="14" t="s">
        <v>622</v>
      </c>
      <c r="K26" s="14" t="s">
        <v>622</v>
      </c>
      <c r="L26" s="14" t="s">
        <v>622</v>
      </c>
      <c r="M26" s="14" t="s">
        <v>622</v>
      </c>
      <c r="N26" s="14" t="s">
        <v>622</v>
      </c>
      <c r="O26" s="14" t="s">
        <v>622</v>
      </c>
      <c r="P26" s="14" t="s">
        <v>622</v>
      </c>
      <c r="Q26" s="1" t="s">
        <v>695</v>
      </c>
      <c r="R26" s="1" t="s">
        <v>683</v>
      </c>
      <c r="S26" t="s">
        <v>243</v>
      </c>
      <c r="Z26" s="1"/>
      <c r="AG26" s="1" t="s">
        <v>311</v>
      </c>
    </row>
    <row r="27" spans="2:33" x14ac:dyDescent="0.2">
      <c r="B27">
        <f>ID编号[id编号]*10000+ROW()-6</f>
        <v>1040021</v>
      </c>
      <c r="C27" s="2" t="s">
        <v>60</v>
      </c>
      <c r="D27">
        <v>2</v>
      </c>
      <c r="E27">
        <v>2</v>
      </c>
      <c r="F27">
        <v>1</v>
      </c>
      <c r="G27" s="14" t="s">
        <v>622</v>
      </c>
      <c r="H27" s="14" t="s">
        <v>627</v>
      </c>
      <c r="I27" s="14" t="s">
        <v>622</v>
      </c>
      <c r="J27" s="14" t="s">
        <v>622</v>
      </c>
      <c r="K27" s="14" t="s">
        <v>622</v>
      </c>
      <c r="L27" s="14" t="s">
        <v>622</v>
      </c>
      <c r="M27" s="14" t="s">
        <v>622</v>
      </c>
      <c r="N27" s="14" t="s">
        <v>622</v>
      </c>
      <c r="O27" s="14" t="s">
        <v>622</v>
      </c>
      <c r="P27" s="14" t="s">
        <v>622</v>
      </c>
      <c r="Q27" s="1" t="s">
        <v>696</v>
      </c>
      <c r="R27" s="1" t="s">
        <v>684</v>
      </c>
      <c r="S27" t="s">
        <v>246</v>
      </c>
      <c r="Z27" s="1"/>
      <c r="AG27" s="1" t="s">
        <v>312</v>
      </c>
    </row>
    <row r="28" spans="2:33" x14ac:dyDescent="0.2">
      <c r="B28">
        <f>ID编号[id编号]*10000+ROW()-6</f>
        <v>1040022</v>
      </c>
      <c r="C28" s="2" t="s">
        <v>61</v>
      </c>
      <c r="D28">
        <v>2</v>
      </c>
      <c r="E28">
        <v>12</v>
      </c>
      <c r="F28">
        <v>1</v>
      </c>
      <c r="G28" s="14" t="s">
        <v>622</v>
      </c>
      <c r="H28" s="14" t="s">
        <v>627</v>
      </c>
      <c r="I28" s="14" t="s">
        <v>622</v>
      </c>
      <c r="J28" s="14" t="s">
        <v>622</v>
      </c>
      <c r="K28" s="14" t="s">
        <v>622</v>
      </c>
      <c r="L28" s="14" t="s">
        <v>622</v>
      </c>
      <c r="M28" s="14" t="s">
        <v>622</v>
      </c>
      <c r="N28" s="14" t="s">
        <v>622</v>
      </c>
      <c r="O28" s="14" t="s">
        <v>622</v>
      </c>
      <c r="P28" s="14" t="s">
        <v>622</v>
      </c>
      <c r="Q28" s="1" t="s">
        <v>696</v>
      </c>
      <c r="R28" s="1" t="s">
        <v>684</v>
      </c>
      <c r="S28" t="s">
        <v>246</v>
      </c>
      <c r="Z28" s="1"/>
      <c r="AG28" s="1" t="s">
        <v>313</v>
      </c>
    </row>
    <row r="29" spans="2:33" x14ac:dyDescent="0.2">
      <c r="B29">
        <f>ID编号[id编号]*10000+ROW()-6</f>
        <v>1040023</v>
      </c>
      <c r="C29" s="2" t="s">
        <v>62</v>
      </c>
      <c r="D29">
        <v>2</v>
      </c>
      <c r="E29">
        <v>8</v>
      </c>
      <c r="F29">
        <v>0</v>
      </c>
      <c r="G29" s="14" t="s">
        <v>627</v>
      </c>
      <c r="H29" s="14" t="s">
        <v>622</v>
      </c>
      <c r="I29" s="14" t="s">
        <v>622</v>
      </c>
      <c r="J29" s="14" t="s">
        <v>622</v>
      </c>
      <c r="K29" s="14" t="s">
        <v>622</v>
      </c>
      <c r="L29" s="14" t="s">
        <v>622</v>
      </c>
      <c r="M29" s="14" t="s">
        <v>622</v>
      </c>
      <c r="N29" s="14" t="s">
        <v>622</v>
      </c>
      <c r="O29" s="14" t="s">
        <v>622</v>
      </c>
      <c r="P29" s="14" t="s">
        <v>622</v>
      </c>
      <c r="Q29" s="1" t="s">
        <v>695</v>
      </c>
      <c r="R29" s="1" t="s">
        <v>683</v>
      </c>
      <c r="S29" t="s">
        <v>243</v>
      </c>
      <c r="Z29" s="1"/>
      <c r="AG29" s="1" t="s">
        <v>314</v>
      </c>
    </row>
    <row r="30" spans="2:33" x14ac:dyDescent="0.2">
      <c r="B30">
        <f>ID编号[id编号]*10000+ROW()-6</f>
        <v>1040024</v>
      </c>
      <c r="C30" s="2" t="s">
        <v>63</v>
      </c>
      <c r="D30">
        <v>2</v>
      </c>
      <c r="E30">
        <v>6</v>
      </c>
      <c r="F30">
        <v>0</v>
      </c>
      <c r="G30" s="14" t="s">
        <v>628</v>
      </c>
      <c r="H30" s="14" t="s">
        <v>622</v>
      </c>
      <c r="I30" s="14" t="s">
        <v>622</v>
      </c>
      <c r="J30" s="14" t="s">
        <v>622</v>
      </c>
      <c r="K30" s="14" t="s">
        <v>622</v>
      </c>
      <c r="L30" s="14" t="s">
        <v>622</v>
      </c>
      <c r="M30" s="14" t="s">
        <v>622</v>
      </c>
      <c r="N30" s="14" t="s">
        <v>622</v>
      </c>
      <c r="O30" s="14" t="s">
        <v>622</v>
      </c>
      <c r="P30" s="14" t="s">
        <v>622</v>
      </c>
      <c r="Q30" s="1" t="s">
        <v>697</v>
      </c>
      <c r="R30" s="1" t="s">
        <v>683</v>
      </c>
      <c r="S30" t="s">
        <v>244</v>
      </c>
      <c r="Z30" s="1"/>
      <c r="AG30" s="1" t="s">
        <v>315</v>
      </c>
    </row>
    <row r="31" spans="2:33" x14ac:dyDescent="0.2">
      <c r="B31">
        <f>ID编号[id编号]*10000+ROW()-6</f>
        <v>1040025</v>
      </c>
      <c r="C31" s="2" t="s">
        <v>64</v>
      </c>
      <c r="D31">
        <v>2</v>
      </c>
      <c r="E31">
        <v>13</v>
      </c>
      <c r="G31" s="14" t="s">
        <v>622</v>
      </c>
      <c r="H31" s="14" t="s">
        <v>622</v>
      </c>
      <c r="I31" s="14" t="s">
        <v>622</v>
      </c>
      <c r="J31" s="14" t="s">
        <v>622</v>
      </c>
      <c r="K31" s="14" t="s">
        <v>629</v>
      </c>
      <c r="L31" s="14" t="s">
        <v>629</v>
      </c>
      <c r="M31" s="14" t="s">
        <v>622</v>
      </c>
      <c r="N31" s="14" t="s">
        <v>622</v>
      </c>
      <c r="O31" s="14" t="s">
        <v>630</v>
      </c>
      <c r="P31" s="14" t="s">
        <v>622</v>
      </c>
      <c r="R31" t="s">
        <v>677</v>
      </c>
      <c r="S31" t="s">
        <v>888</v>
      </c>
      <c r="Z31" s="1"/>
      <c r="AG31" s="1" t="s">
        <v>316</v>
      </c>
    </row>
    <row r="32" spans="2:33" x14ac:dyDescent="0.2">
      <c r="B32">
        <f>ID编号[id编号]*10000+ROW()-6</f>
        <v>1040026</v>
      </c>
      <c r="C32" s="2" t="s">
        <v>65</v>
      </c>
      <c r="D32">
        <v>2</v>
      </c>
      <c r="E32">
        <v>15</v>
      </c>
      <c r="G32" s="14" t="s">
        <v>622</v>
      </c>
      <c r="H32" s="14" t="s">
        <v>622</v>
      </c>
      <c r="I32" s="14" t="s">
        <v>629</v>
      </c>
      <c r="J32" s="14" t="s">
        <v>629</v>
      </c>
      <c r="K32" s="14" t="s">
        <v>622</v>
      </c>
      <c r="L32" s="14" t="s">
        <v>622</v>
      </c>
      <c r="M32" s="14" t="s">
        <v>631</v>
      </c>
      <c r="N32" s="14" t="s">
        <v>631</v>
      </c>
      <c r="O32" s="14" t="s">
        <v>622</v>
      </c>
      <c r="P32" s="14" t="s">
        <v>622</v>
      </c>
      <c r="R32" t="s">
        <v>677</v>
      </c>
      <c r="S32" t="s">
        <v>888</v>
      </c>
      <c r="Z32" s="1"/>
      <c r="AG32" s="1" t="s">
        <v>317</v>
      </c>
    </row>
    <row r="33" spans="2:33" x14ac:dyDescent="0.2">
      <c r="B33">
        <f>ID编号[id编号]*10000+ROW()-6</f>
        <v>1040027</v>
      </c>
      <c r="C33" s="2" t="s">
        <v>66</v>
      </c>
      <c r="D33">
        <v>2</v>
      </c>
      <c r="E33">
        <v>14</v>
      </c>
      <c r="G33" s="14" t="s">
        <v>622</v>
      </c>
      <c r="H33" s="14" t="s">
        <v>622</v>
      </c>
      <c r="I33" s="14" t="s">
        <v>629</v>
      </c>
      <c r="J33" s="14" t="s">
        <v>629</v>
      </c>
      <c r="K33" s="14" t="s">
        <v>622</v>
      </c>
      <c r="L33" s="14" t="s">
        <v>622</v>
      </c>
      <c r="M33" s="14" t="s">
        <v>631</v>
      </c>
      <c r="N33" s="14" t="s">
        <v>631</v>
      </c>
      <c r="O33" s="14" t="s">
        <v>622</v>
      </c>
      <c r="P33" s="14" t="s">
        <v>622</v>
      </c>
      <c r="R33" t="s">
        <v>677</v>
      </c>
      <c r="S33" t="s">
        <v>888</v>
      </c>
      <c r="Z33" s="1"/>
      <c r="AG33" s="1" t="s">
        <v>317</v>
      </c>
    </row>
    <row r="34" spans="2:33" x14ac:dyDescent="0.2">
      <c r="B34">
        <f>ID编号[id编号]*10000+ROW()-6</f>
        <v>1040028</v>
      </c>
      <c r="C34" s="2" t="s">
        <v>67</v>
      </c>
      <c r="D34">
        <v>2</v>
      </c>
      <c r="E34">
        <v>16</v>
      </c>
      <c r="G34" s="14" t="s">
        <v>622</v>
      </c>
      <c r="H34" s="14" t="s">
        <v>622</v>
      </c>
      <c r="I34" s="14" t="s">
        <v>622</v>
      </c>
      <c r="J34" s="14" t="s">
        <v>622</v>
      </c>
      <c r="K34" s="14" t="s">
        <v>622</v>
      </c>
      <c r="L34" s="14" t="s">
        <v>622</v>
      </c>
      <c r="M34" s="14" t="s">
        <v>622</v>
      </c>
      <c r="N34" s="14" t="s">
        <v>622</v>
      </c>
      <c r="O34" s="14" t="s">
        <v>630</v>
      </c>
      <c r="P34" s="14" t="s">
        <v>629</v>
      </c>
      <c r="R34" t="s">
        <v>677</v>
      </c>
      <c r="S34" t="s">
        <v>888</v>
      </c>
      <c r="Z34" s="1"/>
      <c r="AG34" s="1" t="s">
        <v>318</v>
      </c>
    </row>
    <row r="35" spans="2:33" x14ac:dyDescent="0.2">
      <c r="B35">
        <f>ID编号[id编号]*10000+ROW()-6</f>
        <v>1040029</v>
      </c>
      <c r="C35" s="2" t="s">
        <v>68</v>
      </c>
      <c r="D35">
        <v>2</v>
      </c>
      <c r="E35">
        <v>15</v>
      </c>
      <c r="G35" s="14" t="s">
        <v>622</v>
      </c>
      <c r="H35" s="14" t="s">
        <v>622</v>
      </c>
      <c r="I35" s="14" t="s">
        <v>632</v>
      </c>
      <c r="J35" s="14" t="s">
        <v>632</v>
      </c>
      <c r="K35" s="14" t="s">
        <v>622</v>
      </c>
      <c r="L35" s="14" t="s">
        <v>622</v>
      </c>
      <c r="M35" s="14" t="s">
        <v>633</v>
      </c>
      <c r="N35" s="14" t="s">
        <v>633</v>
      </c>
      <c r="O35" s="14" t="s">
        <v>622</v>
      </c>
      <c r="P35" s="14" t="s">
        <v>622</v>
      </c>
      <c r="Q35" t="s">
        <v>700</v>
      </c>
      <c r="R35" t="s">
        <v>698</v>
      </c>
      <c r="S35" t="s">
        <v>248</v>
      </c>
      <c r="Z35" s="1"/>
      <c r="AG35" s="1" t="s">
        <v>319</v>
      </c>
    </row>
    <row r="36" spans="2:33" x14ac:dyDescent="0.2">
      <c r="B36">
        <f>ID编号[id编号]*10000+ROW()-6</f>
        <v>1040030</v>
      </c>
      <c r="C36" s="2" t="s">
        <v>70</v>
      </c>
      <c r="D36">
        <v>2</v>
      </c>
      <c r="E36">
        <v>7</v>
      </c>
      <c r="F36">
        <v>1</v>
      </c>
      <c r="G36" s="14" t="s">
        <v>634</v>
      </c>
      <c r="H36" s="14" t="s">
        <v>622</v>
      </c>
      <c r="I36" s="14" t="s">
        <v>622</v>
      </c>
      <c r="J36" s="14" t="s">
        <v>622</v>
      </c>
      <c r="K36" s="14" t="s">
        <v>622</v>
      </c>
      <c r="L36" s="14" t="s">
        <v>622</v>
      </c>
      <c r="M36" s="14" t="s">
        <v>622</v>
      </c>
      <c r="N36" s="14" t="s">
        <v>622</v>
      </c>
      <c r="O36" s="14" t="s">
        <v>622</v>
      </c>
      <c r="P36" s="14" t="s">
        <v>622</v>
      </c>
      <c r="Q36" t="s">
        <v>701</v>
      </c>
      <c r="R36" t="s">
        <v>699</v>
      </c>
      <c r="S36" t="s">
        <v>174</v>
      </c>
      <c r="Z36" s="1"/>
      <c r="AG36" s="1" t="s">
        <v>320</v>
      </c>
    </row>
    <row r="37" spans="2:33" x14ac:dyDescent="0.2">
      <c r="B37">
        <f>ID编号[id编号]*10000+ROW()-6</f>
        <v>1040031</v>
      </c>
      <c r="C37" s="2" t="s">
        <v>79</v>
      </c>
      <c r="D37">
        <v>2</v>
      </c>
      <c r="E37">
        <v>11</v>
      </c>
      <c r="F37">
        <v>1</v>
      </c>
      <c r="G37" s="14" t="s">
        <v>622</v>
      </c>
      <c r="H37" s="14" t="s">
        <v>626</v>
      </c>
      <c r="I37" s="14" t="s">
        <v>622</v>
      </c>
      <c r="J37" s="14" t="s">
        <v>622</v>
      </c>
      <c r="K37" s="14" t="s">
        <v>622</v>
      </c>
      <c r="L37" s="14" t="s">
        <v>622</v>
      </c>
      <c r="M37" s="14" t="s">
        <v>622</v>
      </c>
      <c r="N37" s="14" t="s">
        <v>622</v>
      </c>
      <c r="O37" s="14" t="s">
        <v>622</v>
      </c>
      <c r="P37" s="14" t="s">
        <v>622</v>
      </c>
      <c r="Q37" t="s">
        <v>702</v>
      </c>
      <c r="R37" t="s">
        <v>680</v>
      </c>
      <c r="S37" t="s">
        <v>228</v>
      </c>
      <c r="Z37" s="1"/>
      <c r="AG37" s="1" t="s">
        <v>321</v>
      </c>
    </row>
    <row r="38" spans="2:33" x14ac:dyDescent="0.2">
      <c r="B38">
        <f>ID编号[id编号]*10000+ROW()-6</f>
        <v>1040032</v>
      </c>
      <c r="C38" s="2" t="s">
        <v>84</v>
      </c>
      <c r="D38">
        <v>2</v>
      </c>
      <c r="E38">
        <v>6</v>
      </c>
      <c r="F38">
        <v>0</v>
      </c>
      <c r="G38" s="14" t="s">
        <v>626</v>
      </c>
      <c r="H38" s="14" t="s">
        <v>622</v>
      </c>
      <c r="I38" s="14" t="s">
        <v>622</v>
      </c>
      <c r="J38" s="14" t="s">
        <v>622</v>
      </c>
      <c r="K38" s="14" t="s">
        <v>622</v>
      </c>
      <c r="L38" s="14" t="s">
        <v>622</v>
      </c>
      <c r="M38" s="14" t="s">
        <v>622</v>
      </c>
      <c r="N38" s="14" t="s">
        <v>622</v>
      </c>
      <c r="O38" s="14" t="s">
        <v>622</v>
      </c>
      <c r="P38" s="14" t="s">
        <v>622</v>
      </c>
      <c r="Q38" t="s">
        <v>703</v>
      </c>
      <c r="R38" t="s">
        <v>679</v>
      </c>
      <c r="S38" t="s">
        <v>156</v>
      </c>
      <c r="Z38" s="1"/>
      <c r="AG38" s="1" t="s">
        <v>322</v>
      </c>
    </row>
    <row r="39" spans="2:33" x14ac:dyDescent="0.2">
      <c r="B39" s="6">
        <f>ID编号[id编号]*10000+ROW()-6</f>
        <v>1040033</v>
      </c>
      <c r="C39" s="3" t="s">
        <v>85</v>
      </c>
      <c r="D39" s="6">
        <v>2</v>
      </c>
      <c r="E39" s="6">
        <v>16</v>
      </c>
      <c r="F39" s="6"/>
      <c r="G39" s="15" t="s">
        <v>622</v>
      </c>
      <c r="H39" s="15" t="s">
        <v>622</v>
      </c>
      <c r="I39" s="15" t="s">
        <v>622</v>
      </c>
      <c r="J39" s="15" t="s">
        <v>622</v>
      </c>
      <c r="K39" s="15" t="s">
        <v>622</v>
      </c>
      <c r="L39" s="15" t="s">
        <v>622</v>
      </c>
      <c r="M39" s="15" t="s">
        <v>622</v>
      </c>
      <c r="N39" s="15" t="s">
        <v>622</v>
      </c>
      <c r="O39" s="16" t="s">
        <v>635</v>
      </c>
      <c r="P39" s="16" t="s">
        <v>632</v>
      </c>
      <c r="Q39" s="6" t="s">
        <v>704</v>
      </c>
      <c r="R39" s="6" t="s">
        <v>682</v>
      </c>
      <c r="S39" s="6" t="s">
        <v>253</v>
      </c>
      <c r="T39" s="7"/>
      <c r="U39" s="7"/>
      <c r="V39" s="7"/>
      <c r="W39" s="7"/>
      <c r="X39" s="7"/>
      <c r="Y39" s="7"/>
      <c r="Z39" s="1"/>
      <c r="AA39" s="6"/>
      <c r="AB39" s="6"/>
      <c r="AC39" s="6"/>
      <c r="AD39" s="6"/>
      <c r="AE39" s="6"/>
      <c r="AF39" s="6"/>
      <c r="AG39" s="1" t="s">
        <v>323</v>
      </c>
    </row>
    <row r="40" spans="2:33" x14ac:dyDescent="0.2">
      <c r="B40">
        <f>ID编号[id编号]*10000+ROW()-6</f>
        <v>1040034</v>
      </c>
      <c r="C40" s="2" t="s">
        <v>89</v>
      </c>
      <c r="D40">
        <v>2</v>
      </c>
      <c r="E40">
        <v>1</v>
      </c>
      <c r="F40">
        <v>1</v>
      </c>
      <c r="G40" s="14" t="s">
        <v>622</v>
      </c>
      <c r="H40" s="14" t="s">
        <v>627</v>
      </c>
      <c r="I40" s="14" t="s">
        <v>622</v>
      </c>
      <c r="J40" s="14" t="s">
        <v>622</v>
      </c>
      <c r="K40" s="14" t="s">
        <v>622</v>
      </c>
      <c r="L40" s="14" t="s">
        <v>622</v>
      </c>
      <c r="M40" s="14" t="s">
        <v>622</v>
      </c>
      <c r="N40" s="14" t="s">
        <v>622</v>
      </c>
      <c r="O40" s="14" t="s">
        <v>622</v>
      </c>
      <c r="P40" s="14" t="s">
        <v>622</v>
      </c>
      <c r="Q40" t="s">
        <v>705</v>
      </c>
      <c r="R40" t="s">
        <v>684</v>
      </c>
      <c r="S40" t="s">
        <v>260</v>
      </c>
      <c r="Z40" s="1"/>
      <c r="AG40" s="1" t="s">
        <v>324</v>
      </c>
    </row>
    <row r="41" spans="2:33" x14ac:dyDescent="0.2">
      <c r="B41">
        <f>ID编号[id编号]*10000+ROW()-6</f>
        <v>1040035</v>
      </c>
      <c r="C41" s="2" t="s">
        <v>93</v>
      </c>
      <c r="D41">
        <v>2</v>
      </c>
      <c r="E41">
        <v>14</v>
      </c>
      <c r="G41" s="14" t="s">
        <v>622</v>
      </c>
      <c r="H41" s="14" t="s">
        <v>622</v>
      </c>
      <c r="I41" s="14" t="s">
        <v>623</v>
      </c>
      <c r="J41" s="14" t="s">
        <v>632</v>
      </c>
      <c r="K41" s="14" t="s">
        <v>622</v>
      </c>
      <c r="L41" s="14" t="s">
        <v>622</v>
      </c>
      <c r="M41" s="14" t="s">
        <v>625</v>
      </c>
      <c r="N41" s="14" t="s">
        <v>631</v>
      </c>
      <c r="O41" s="14" t="s">
        <v>622</v>
      </c>
      <c r="P41" s="14" t="s">
        <v>622</v>
      </c>
      <c r="Q41" t="s">
        <v>250</v>
      </c>
      <c r="R41" t="s">
        <v>690</v>
      </c>
      <c r="S41" t="s">
        <v>257</v>
      </c>
      <c r="Z41" s="1"/>
      <c r="AG41" s="1" t="s">
        <v>325</v>
      </c>
    </row>
    <row r="42" spans="2:33" x14ac:dyDescent="0.2">
      <c r="B42">
        <f>ID编号[id编号]*10000+ROW()-6</f>
        <v>1040036</v>
      </c>
      <c r="C42" s="2" t="s">
        <v>94</v>
      </c>
      <c r="D42">
        <v>2</v>
      </c>
      <c r="E42">
        <v>3</v>
      </c>
      <c r="F42">
        <v>0</v>
      </c>
      <c r="G42" s="14" t="s">
        <v>627</v>
      </c>
      <c r="H42" s="14" t="s">
        <v>622</v>
      </c>
      <c r="I42" s="14" t="s">
        <v>622</v>
      </c>
      <c r="J42" s="14" t="s">
        <v>622</v>
      </c>
      <c r="K42" s="14" t="s">
        <v>622</v>
      </c>
      <c r="L42" s="14" t="s">
        <v>622</v>
      </c>
      <c r="M42" s="14" t="s">
        <v>622</v>
      </c>
      <c r="N42" s="14" t="s">
        <v>622</v>
      </c>
      <c r="O42" s="14" t="s">
        <v>622</v>
      </c>
      <c r="P42" s="14" t="s">
        <v>622</v>
      </c>
      <c r="Q42" t="s">
        <v>706</v>
      </c>
      <c r="R42" t="s">
        <v>683</v>
      </c>
      <c r="S42" t="s">
        <v>259</v>
      </c>
      <c r="Z42" s="1"/>
      <c r="AG42" s="1" t="s">
        <v>326</v>
      </c>
    </row>
    <row r="43" spans="2:33" x14ac:dyDescent="0.2">
      <c r="B43">
        <f>ID编号[id编号]*10000+ROW()-6</f>
        <v>1040037</v>
      </c>
      <c r="C43" s="2" t="s">
        <v>97</v>
      </c>
      <c r="D43">
        <v>2</v>
      </c>
      <c r="E43">
        <v>13</v>
      </c>
      <c r="G43" s="14" t="s">
        <v>622</v>
      </c>
      <c r="H43" s="14" t="s">
        <v>622</v>
      </c>
      <c r="I43" s="14" t="s">
        <v>622</v>
      </c>
      <c r="J43" s="14" t="s">
        <v>622</v>
      </c>
      <c r="K43" s="14" t="s">
        <v>632</v>
      </c>
      <c r="L43" s="14" t="s">
        <v>632</v>
      </c>
      <c r="M43" s="14" t="s">
        <v>622</v>
      </c>
      <c r="N43" s="14" t="s">
        <v>622</v>
      </c>
      <c r="O43" s="14" t="s">
        <v>636</v>
      </c>
      <c r="P43" s="14" t="s">
        <v>622</v>
      </c>
      <c r="Q43" t="s">
        <v>251</v>
      </c>
      <c r="R43" t="s">
        <v>691</v>
      </c>
      <c r="S43" t="s">
        <v>258</v>
      </c>
      <c r="Z43" s="1"/>
      <c r="AG43" s="1" t="s">
        <v>327</v>
      </c>
    </row>
    <row r="44" spans="2:33" x14ac:dyDescent="0.2">
      <c r="B44">
        <f>ID编号[id编号]*10000+ROW()-6</f>
        <v>1040038</v>
      </c>
      <c r="C44" s="2" t="s">
        <v>98</v>
      </c>
      <c r="D44">
        <v>2</v>
      </c>
      <c r="E44">
        <v>10</v>
      </c>
      <c r="F44">
        <v>0</v>
      </c>
      <c r="G44" s="14" t="s">
        <v>627</v>
      </c>
      <c r="H44" s="14" t="s">
        <v>622</v>
      </c>
      <c r="I44" s="14" t="s">
        <v>622</v>
      </c>
      <c r="J44" s="14" t="s">
        <v>622</v>
      </c>
      <c r="K44" s="14" t="s">
        <v>622</v>
      </c>
      <c r="L44" s="14" t="s">
        <v>622</v>
      </c>
      <c r="M44" s="14" t="s">
        <v>622</v>
      </c>
      <c r="N44" s="14" t="s">
        <v>622</v>
      </c>
      <c r="O44" s="14" t="s">
        <v>622</v>
      </c>
      <c r="P44" s="14" t="s">
        <v>622</v>
      </c>
      <c r="Q44" t="s">
        <v>708</v>
      </c>
      <c r="R44" t="s">
        <v>707</v>
      </c>
      <c r="S44" t="s">
        <v>259</v>
      </c>
      <c r="Z44" s="1"/>
      <c r="AG44" s="1" t="s">
        <v>328</v>
      </c>
    </row>
    <row r="45" spans="2:33" x14ac:dyDescent="0.2">
      <c r="B45">
        <f>ID编号[id编号]*10000+ROW()-6</f>
        <v>1040039</v>
      </c>
      <c r="C45" s="2" t="s">
        <v>103</v>
      </c>
      <c r="D45">
        <v>2</v>
      </c>
      <c r="E45">
        <v>12</v>
      </c>
      <c r="F45">
        <v>1</v>
      </c>
      <c r="G45" s="14" t="s">
        <v>622</v>
      </c>
      <c r="H45" s="14" t="s">
        <v>637</v>
      </c>
      <c r="I45" s="14" t="s">
        <v>622</v>
      </c>
      <c r="J45" s="14" t="s">
        <v>622</v>
      </c>
      <c r="K45" s="14" t="s">
        <v>622</v>
      </c>
      <c r="L45" s="14" t="s">
        <v>622</v>
      </c>
      <c r="M45" s="14" t="s">
        <v>622</v>
      </c>
      <c r="N45" s="14" t="s">
        <v>622</v>
      </c>
      <c r="O45" s="14" t="s">
        <v>622</v>
      </c>
      <c r="P45" s="14" t="s">
        <v>622</v>
      </c>
      <c r="R45" t="s">
        <v>676</v>
      </c>
      <c r="S45" t="s">
        <v>888</v>
      </c>
      <c r="Z45" s="1"/>
      <c r="AG45" s="1" t="s">
        <v>329</v>
      </c>
    </row>
    <row r="46" spans="2:33" x14ac:dyDescent="0.2">
      <c r="B46">
        <f>ID编号[id编号]*10000+ROW()-6</f>
        <v>1040040</v>
      </c>
      <c r="C46" s="2" t="s">
        <v>107</v>
      </c>
      <c r="D46">
        <v>2</v>
      </c>
      <c r="E46">
        <v>2</v>
      </c>
      <c r="F46">
        <v>0</v>
      </c>
      <c r="G46" s="14" t="s">
        <v>627</v>
      </c>
      <c r="H46" s="14" t="s">
        <v>622</v>
      </c>
      <c r="I46" s="14" t="s">
        <v>622</v>
      </c>
      <c r="J46" s="14" t="s">
        <v>622</v>
      </c>
      <c r="K46" s="14" t="s">
        <v>622</v>
      </c>
      <c r="L46" s="14" t="s">
        <v>622</v>
      </c>
      <c r="M46" s="14" t="s">
        <v>622</v>
      </c>
      <c r="N46" s="14" t="s">
        <v>622</v>
      </c>
      <c r="O46" s="14" t="s">
        <v>622</v>
      </c>
      <c r="P46" s="14" t="s">
        <v>622</v>
      </c>
      <c r="Q46" t="s">
        <v>695</v>
      </c>
      <c r="R46" t="s">
        <v>683</v>
      </c>
      <c r="S46" t="s">
        <v>239</v>
      </c>
      <c r="Z46" s="1"/>
      <c r="AG46" s="1" t="s">
        <v>330</v>
      </c>
    </row>
    <row r="47" spans="2:33" x14ac:dyDescent="0.2">
      <c r="B47">
        <f>ID编号[id编号]*10000+ROW()-6</f>
        <v>1040041</v>
      </c>
      <c r="C47" s="2" t="s">
        <v>116</v>
      </c>
      <c r="D47">
        <v>2</v>
      </c>
      <c r="E47">
        <v>9</v>
      </c>
      <c r="F47">
        <v>0</v>
      </c>
      <c r="G47" s="14" t="s">
        <v>626</v>
      </c>
      <c r="H47" s="14" t="s">
        <v>622</v>
      </c>
      <c r="I47" s="14" t="s">
        <v>622</v>
      </c>
      <c r="J47" s="14" t="s">
        <v>622</v>
      </c>
      <c r="K47" s="14" t="s">
        <v>622</v>
      </c>
      <c r="L47" s="14" t="s">
        <v>622</v>
      </c>
      <c r="M47" s="14" t="s">
        <v>622</v>
      </c>
      <c r="N47" s="14" t="s">
        <v>622</v>
      </c>
      <c r="O47" s="14" t="s">
        <v>622</v>
      </c>
      <c r="P47" s="14" t="s">
        <v>622</v>
      </c>
      <c r="Q47" t="s">
        <v>725</v>
      </c>
      <c r="S47" t="s">
        <v>262</v>
      </c>
      <c r="Z47" s="1"/>
      <c r="AG47" s="1" t="s">
        <v>331</v>
      </c>
    </row>
    <row r="48" spans="2:33" x14ac:dyDescent="0.2">
      <c r="B48">
        <f>ID编号[id编号]*10000+ROW()-6</f>
        <v>1040042</v>
      </c>
      <c r="C48" s="2" t="s">
        <v>120</v>
      </c>
      <c r="D48">
        <v>2</v>
      </c>
      <c r="E48">
        <v>3</v>
      </c>
      <c r="F48">
        <v>0</v>
      </c>
      <c r="G48" s="14" t="s">
        <v>629</v>
      </c>
      <c r="H48" s="14" t="s">
        <v>622</v>
      </c>
      <c r="I48" s="14" t="s">
        <v>622</v>
      </c>
      <c r="J48" s="14" t="s">
        <v>622</v>
      </c>
      <c r="K48" s="14" t="s">
        <v>622</v>
      </c>
      <c r="L48" s="14" t="s">
        <v>622</v>
      </c>
      <c r="M48" s="14" t="s">
        <v>622</v>
      </c>
      <c r="N48" s="14" t="s">
        <v>622</v>
      </c>
      <c r="O48" s="14" t="s">
        <v>622</v>
      </c>
      <c r="P48" s="14" t="s">
        <v>622</v>
      </c>
      <c r="Q48" t="s">
        <v>263</v>
      </c>
      <c r="S48" t="s">
        <v>175</v>
      </c>
      <c r="Z48" s="1"/>
      <c r="AG48" s="1" t="s">
        <v>332</v>
      </c>
    </row>
    <row r="49" spans="2:33" x14ac:dyDescent="0.2">
      <c r="B49">
        <f>ID编号[id编号]*10000+ROW()-6</f>
        <v>1040043</v>
      </c>
      <c r="C49" s="2" t="s">
        <v>69</v>
      </c>
      <c r="D49">
        <v>3</v>
      </c>
      <c r="E49">
        <v>13</v>
      </c>
      <c r="G49" s="14" t="s">
        <v>622</v>
      </c>
      <c r="H49" s="14" t="s">
        <v>622</v>
      </c>
      <c r="I49" s="14" t="s">
        <v>622</v>
      </c>
      <c r="J49" s="14" t="s">
        <v>622</v>
      </c>
      <c r="K49" s="14" t="s">
        <v>629</v>
      </c>
      <c r="L49" s="14" t="s">
        <v>629</v>
      </c>
      <c r="M49" s="14" t="s">
        <v>622</v>
      </c>
      <c r="N49" s="14" t="s">
        <v>622</v>
      </c>
      <c r="O49" s="14" t="s">
        <v>630</v>
      </c>
      <c r="P49" s="14" t="s">
        <v>622</v>
      </c>
      <c r="Q49" t="s">
        <v>726</v>
      </c>
      <c r="R49" t="s">
        <v>698</v>
      </c>
      <c r="S49" t="s">
        <v>249</v>
      </c>
      <c r="Z49" s="1"/>
      <c r="AG49" s="1"/>
    </row>
    <row r="50" spans="2:33" x14ac:dyDescent="0.2">
      <c r="B50">
        <f>ID编号[id编号]*10000+ROW()-6</f>
        <v>1040044</v>
      </c>
      <c r="C50" s="2" t="s">
        <v>74</v>
      </c>
      <c r="D50">
        <v>3</v>
      </c>
      <c r="E50">
        <v>13</v>
      </c>
      <c r="G50" s="14" t="s">
        <v>622</v>
      </c>
      <c r="H50" s="14" t="s">
        <v>622</v>
      </c>
      <c r="I50" s="14" t="s">
        <v>622</v>
      </c>
      <c r="J50" s="14" t="s">
        <v>622</v>
      </c>
      <c r="K50" s="14" t="s">
        <v>632</v>
      </c>
      <c r="L50" s="14" t="s">
        <v>632</v>
      </c>
      <c r="M50" s="14" t="s">
        <v>622</v>
      </c>
      <c r="N50" s="14" t="s">
        <v>622</v>
      </c>
      <c r="O50" s="14" t="s">
        <v>630</v>
      </c>
      <c r="P50" s="14" t="s">
        <v>622</v>
      </c>
      <c r="Q50" t="s">
        <v>727</v>
      </c>
      <c r="R50" t="s">
        <v>709</v>
      </c>
      <c r="S50" t="s">
        <v>177</v>
      </c>
      <c r="Z50" s="1"/>
      <c r="AG50" s="1" t="s">
        <v>333</v>
      </c>
    </row>
    <row r="51" spans="2:33" s="6" customFormat="1" x14ac:dyDescent="0.2">
      <c r="B51">
        <f>ID编号[id编号]*10000+ROW()-6</f>
        <v>1040045</v>
      </c>
      <c r="C51" s="2" t="s">
        <v>75</v>
      </c>
      <c r="D51">
        <v>3</v>
      </c>
      <c r="E51">
        <v>14</v>
      </c>
      <c r="F51"/>
      <c r="G51" s="14" t="s">
        <v>622</v>
      </c>
      <c r="H51" s="14" t="s">
        <v>622</v>
      </c>
      <c r="I51" s="14" t="s">
        <v>629</v>
      </c>
      <c r="J51" s="14" t="s">
        <v>629</v>
      </c>
      <c r="K51" s="14" t="s">
        <v>622</v>
      </c>
      <c r="L51" s="14" t="s">
        <v>622</v>
      </c>
      <c r="M51" s="14" t="s">
        <v>631</v>
      </c>
      <c r="N51" s="14" t="s">
        <v>631</v>
      </c>
      <c r="O51" s="14" t="s">
        <v>622</v>
      </c>
      <c r="P51" s="14" t="s">
        <v>622</v>
      </c>
      <c r="Q51" t="s">
        <v>728</v>
      </c>
      <c r="R51" t="s">
        <v>709</v>
      </c>
      <c r="S51" t="s">
        <v>729</v>
      </c>
      <c r="T51"/>
      <c r="U51"/>
      <c r="V51"/>
      <c r="W51"/>
      <c r="X51"/>
      <c r="Y51"/>
      <c r="Z51" s="1"/>
      <c r="AA51"/>
      <c r="AB51"/>
      <c r="AC51"/>
      <c r="AD51"/>
      <c r="AE51"/>
      <c r="AF51"/>
      <c r="AG51" s="1" t="s">
        <v>334</v>
      </c>
    </row>
    <row r="52" spans="2:33" x14ac:dyDescent="0.2">
      <c r="B52">
        <f>ID编号[id编号]*10000+ROW()-6</f>
        <v>1040046</v>
      </c>
      <c r="C52" s="2" t="s">
        <v>80</v>
      </c>
      <c r="D52">
        <v>3</v>
      </c>
      <c r="E52">
        <v>15</v>
      </c>
      <c r="G52" s="14" t="s">
        <v>622</v>
      </c>
      <c r="H52" s="14" t="s">
        <v>622</v>
      </c>
      <c r="I52" s="14" t="s">
        <v>629</v>
      </c>
      <c r="J52" s="14" t="s">
        <v>629</v>
      </c>
      <c r="K52" s="14" t="s">
        <v>622</v>
      </c>
      <c r="L52" s="14" t="s">
        <v>622</v>
      </c>
      <c r="M52" s="14" t="s">
        <v>625</v>
      </c>
      <c r="N52" s="14" t="s">
        <v>625</v>
      </c>
      <c r="O52" s="14" t="s">
        <v>622</v>
      </c>
      <c r="P52" s="14" t="s">
        <v>622</v>
      </c>
      <c r="Q52" t="s">
        <v>730</v>
      </c>
      <c r="R52" t="s">
        <v>682</v>
      </c>
      <c r="S52" t="s">
        <v>146</v>
      </c>
      <c r="Z52" s="1"/>
      <c r="AG52" s="1" t="s">
        <v>335</v>
      </c>
    </row>
    <row r="53" spans="2:33" x14ac:dyDescent="0.2">
      <c r="B53">
        <f>ID编号[id编号]*10000+ROW()-6</f>
        <v>1040047</v>
      </c>
      <c r="C53" s="2" t="s">
        <v>86</v>
      </c>
      <c r="D53">
        <v>3</v>
      </c>
      <c r="E53">
        <v>7</v>
      </c>
      <c r="F53">
        <v>0</v>
      </c>
      <c r="G53" s="14" t="s">
        <v>637</v>
      </c>
      <c r="H53" s="14" t="s">
        <v>622</v>
      </c>
      <c r="I53" s="14" t="s">
        <v>622</v>
      </c>
      <c r="J53" s="14" t="s">
        <v>622</v>
      </c>
      <c r="K53" s="14" t="s">
        <v>622</v>
      </c>
      <c r="L53" s="14" t="s">
        <v>622</v>
      </c>
      <c r="M53" s="14" t="s">
        <v>622</v>
      </c>
      <c r="N53" s="14" t="s">
        <v>622</v>
      </c>
      <c r="O53" s="14" t="s">
        <v>622</v>
      </c>
      <c r="P53" s="14" t="s">
        <v>622</v>
      </c>
      <c r="R53" t="s">
        <v>677</v>
      </c>
      <c r="S53" t="s">
        <v>888</v>
      </c>
      <c r="Z53" s="1"/>
      <c r="AG53" s="1" t="s">
        <v>357</v>
      </c>
    </row>
    <row r="54" spans="2:33" s="6" customFormat="1" x14ac:dyDescent="0.2">
      <c r="B54">
        <f>ID编号[id编号]*10000+ROW()-6</f>
        <v>1040048</v>
      </c>
      <c r="C54" s="2" t="s">
        <v>90</v>
      </c>
      <c r="D54">
        <v>3</v>
      </c>
      <c r="E54">
        <v>16</v>
      </c>
      <c r="F54"/>
      <c r="G54" s="14" t="s">
        <v>622</v>
      </c>
      <c r="H54" s="14" t="s">
        <v>622</v>
      </c>
      <c r="I54" s="14" t="s">
        <v>622</v>
      </c>
      <c r="J54" s="14" t="s">
        <v>622</v>
      </c>
      <c r="K54" s="14" t="s">
        <v>622</v>
      </c>
      <c r="L54" s="14" t="s">
        <v>622</v>
      </c>
      <c r="M54" s="14" t="s">
        <v>622</v>
      </c>
      <c r="N54" s="14" t="s">
        <v>622</v>
      </c>
      <c r="O54" s="14" t="s">
        <v>630</v>
      </c>
      <c r="P54" s="14" t="s">
        <v>629</v>
      </c>
      <c r="Q54" t="s">
        <v>731</v>
      </c>
      <c r="R54" t="s">
        <v>681</v>
      </c>
      <c r="S54" t="s">
        <v>178</v>
      </c>
      <c r="T54"/>
      <c r="U54"/>
      <c r="V54"/>
      <c r="W54"/>
      <c r="X54"/>
      <c r="Y54"/>
      <c r="Z54" s="1"/>
      <c r="AA54"/>
      <c r="AB54"/>
      <c r="AC54"/>
      <c r="AD54"/>
      <c r="AE54"/>
      <c r="AF54"/>
      <c r="AG54" s="1" t="s">
        <v>336</v>
      </c>
    </row>
    <row r="55" spans="2:33" x14ac:dyDescent="0.2">
      <c r="B55">
        <f>ID编号[id编号]*10000+ROW()-6</f>
        <v>1040049</v>
      </c>
      <c r="C55" s="2" t="s">
        <v>95</v>
      </c>
      <c r="D55">
        <v>3</v>
      </c>
      <c r="E55">
        <v>1</v>
      </c>
      <c r="F55">
        <v>0</v>
      </c>
      <c r="G55" s="14" t="s">
        <v>634</v>
      </c>
      <c r="H55" s="14" t="s">
        <v>622</v>
      </c>
      <c r="I55" s="14" t="s">
        <v>622</v>
      </c>
      <c r="J55" s="14" t="s">
        <v>622</v>
      </c>
      <c r="K55" s="14" t="s">
        <v>622</v>
      </c>
      <c r="L55" s="14" t="s">
        <v>622</v>
      </c>
      <c r="M55" s="14" t="s">
        <v>622</v>
      </c>
      <c r="N55" s="14" t="s">
        <v>622</v>
      </c>
      <c r="O55" s="14" t="s">
        <v>622</v>
      </c>
      <c r="P55" s="14" t="s">
        <v>622</v>
      </c>
      <c r="Q55" t="s">
        <v>695</v>
      </c>
      <c r="R55" t="s">
        <v>683</v>
      </c>
      <c r="S55" t="s">
        <v>242</v>
      </c>
      <c r="Z55" s="1"/>
      <c r="AG55" s="1" t="s">
        <v>216</v>
      </c>
    </row>
    <row r="56" spans="2:33" x14ac:dyDescent="0.2">
      <c r="B56">
        <f>ID编号[id编号]*10000+ROW()-6</f>
        <v>1040050</v>
      </c>
      <c r="C56" s="2" t="s">
        <v>180</v>
      </c>
      <c r="D56">
        <v>3</v>
      </c>
      <c r="E56">
        <v>4</v>
      </c>
      <c r="F56">
        <v>0</v>
      </c>
      <c r="G56" s="14" t="s">
        <v>638</v>
      </c>
      <c r="H56" s="14" t="s">
        <v>622</v>
      </c>
      <c r="I56" s="14" t="s">
        <v>622</v>
      </c>
      <c r="J56" s="14" t="s">
        <v>622</v>
      </c>
      <c r="K56" s="14" t="s">
        <v>622</v>
      </c>
      <c r="L56" s="14" t="s">
        <v>622</v>
      </c>
      <c r="M56" s="14" t="s">
        <v>622</v>
      </c>
      <c r="N56" s="14" t="s">
        <v>622</v>
      </c>
      <c r="O56" s="14" t="s">
        <v>622</v>
      </c>
      <c r="P56" s="14" t="s">
        <v>622</v>
      </c>
      <c r="R56" t="s">
        <v>677</v>
      </c>
      <c r="S56" t="s">
        <v>888</v>
      </c>
      <c r="Z56" s="1"/>
      <c r="AG56" s="1" t="s">
        <v>218</v>
      </c>
    </row>
    <row r="57" spans="2:33" x14ac:dyDescent="0.2">
      <c r="B57">
        <f>ID编号[id编号]*10000+ROW()-6</f>
        <v>1040051</v>
      </c>
      <c r="C57" s="2" t="s">
        <v>101</v>
      </c>
      <c r="D57">
        <v>3</v>
      </c>
      <c r="E57">
        <v>13</v>
      </c>
      <c r="G57" s="14" t="s">
        <v>622</v>
      </c>
      <c r="H57" s="14" t="s">
        <v>622</v>
      </c>
      <c r="I57" s="14" t="s">
        <v>622</v>
      </c>
      <c r="J57" s="14" t="s">
        <v>622</v>
      </c>
      <c r="K57" s="14" t="s">
        <v>639</v>
      </c>
      <c r="L57" s="14" t="s">
        <v>639</v>
      </c>
      <c r="M57" s="14" t="s">
        <v>622</v>
      </c>
      <c r="N57" s="14" t="s">
        <v>622</v>
      </c>
      <c r="O57" s="14" t="s">
        <v>623</v>
      </c>
      <c r="P57" s="14" t="s">
        <v>622</v>
      </c>
      <c r="Q57" t="s">
        <v>889</v>
      </c>
      <c r="Z57" s="1"/>
      <c r="AG57" s="1" t="s">
        <v>337</v>
      </c>
    </row>
    <row r="58" spans="2:33" x14ac:dyDescent="0.2">
      <c r="B58">
        <f>ID编号[id编号]*10000+ROW()-6</f>
        <v>1040052</v>
      </c>
      <c r="C58" s="2" t="s">
        <v>104</v>
      </c>
      <c r="D58">
        <v>3</v>
      </c>
      <c r="E58">
        <v>12</v>
      </c>
      <c r="F58">
        <v>1</v>
      </c>
      <c r="G58" s="14" t="s">
        <v>622</v>
      </c>
      <c r="H58" s="14" t="s">
        <v>627</v>
      </c>
      <c r="I58" s="14" t="s">
        <v>622</v>
      </c>
      <c r="J58" s="14" t="s">
        <v>622</v>
      </c>
      <c r="K58" s="14" t="s">
        <v>622</v>
      </c>
      <c r="L58" s="14" t="s">
        <v>622</v>
      </c>
      <c r="M58" s="14" t="s">
        <v>622</v>
      </c>
      <c r="N58" s="14" t="s">
        <v>622</v>
      </c>
      <c r="O58" s="14" t="s">
        <v>622</v>
      </c>
      <c r="P58" s="14" t="s">
        <v>622</v>
      </c>
      <c r="Q58" t="s">
        <v>723</v>
      </c>
      <c r="R58" t="s">
        <v>710</v>
      </c>
      <c r="S58" t="s">
        <v>724</v>
      </c>
      <c r="Z58" s="1"/>
      <c r="AG58" s="1" t="s">
        <v>338</v>
      </c>
    </row>
    <row r="59" spans="2:33" x14ac:dyDescent="0.2">
      <c r="B59">
        <f>ID编号[id编号]*10000+ROW()-6</f>
        <v>1040053</v>
      </c>
      <c r="C59" s="2" t="s">
        <v>106</v>
      </c>
      <c r="D59">
        <v>3</v>
      </c>
      <c r="E59">
        <v>14</v>
      </c>
      <c r="G59" s="14" t="s">
        <v>622</v>
      </c>
      <c r="H59" s="14" t="s">
        <v>622</v>
      </c>
      <c r="I59" s="14" t="s">
        <v>640</v>
      </c>
      <c r="J59" s="14" t="s">
        <v>640</v>
      </c>
      <c r="K59" s="14" t="s">
        <v>622</v>
      </c>
      <c r="L59" s="14" t="s">
        <v>622</v>
      </c>
      <c r="M59" s="14" t="s">
        <v>623</v>
      </c>
      <c r="N59" s="14" t="s">
        <v>623</v>
      </c>
      <c r="O59" s="14" t="s">
        <v>622</v>
      </c>
      <c r="P59" s="14" t="s">
        <v>622</v>
      </c>
      <c r="Q59" t="s">
        <v>264</v>
      </c>
      <c r="R59" t="s">
        <v>717</v>
      </c>
      <c r="S59" t="s">
        <v>265</v>
      </c>
      <c r="Z59" s="1"/>
      <c r="AG59" s="1" t="s">
        <v>339</v>
      </c>
    </row>
    <row r="60" spans="2:33" x14ac:dyDescent="0.2">
      <c r="B60">
        <f>ID编号[id编号]*10000+ROW()-6</f>
        <v>1040054</v>
      </c>
      <c r="C60" s="2" t="s">
        <v>108</v>
      </c>
      <c r="D60">
        <v>3</v>
      </c>
      <c r="E60">
        <v>2</v>
      </c>
      <c r="F60">
        <v>0</v>
      </c>
      <c r="G60" s="14" t="s">
        <v>634</v>
      </c>
      <c r="H60" s="14" t="s">
        <v>622</v>
      </c>
      <c r="I60" s="14" t="s">
        <v>622</v>
      </c>
      <c r="J60" s="14" t="s">
        <v>622</v>
      </c>
      <c r="K60" s="14" t="s">
        <v>622</v>
      </c>
      <c r="L60" s="14" t="s">
        <v>622</v>
      </c>
      <c r="M60" s="14" t="s">
        <v>622</v>
      </c>
      <c r="N60" s="14" t="s">
        <v>622</v>
      </c>
      <c r="O60" s="14" t="s">
        <v>622</v>
      </c>
      <c r="P60" s="14" t="s">
        <v>622</v>
      </c>
      <c r="Q60" t="s">
        <v>733</v>
      </c>
      <c r="R60" t="s">
        <v>718</v>
      </c>
      <c r="S60" t="s">
        <v>266</v>
      </c>
      <c r="Z60" s="1"/>
      <c r="AG60" s="1" t="s">
        <v>221</v>
      </c>
    </row>
    <row r="61" spans="2:33" x14ac:dyDescent="0.2">
      <c r="B61">
        <f>ID编号[id编号]*10000+ROW()-6</f>
        <v>1040055</v>
      </c>
      <c r="C61" s="2" t="s">
        <v>110</v>
      </c>
      <c r="D61">
        <v>3</v>
      </c>
      <c r="E61">
        <v>15</v>
      </c>
      <c r="G61" s="14" t="s">
        <v>622</v>
      </c>
      <c r="H61" s="14" t="s">
        <v>622</v>
      </c>
      <c r="I61" s="14" t="s">
        <v>641</v>
      </c>
      <c r="J61" s="14" t="s">
        <v>642</v>
      </c>
      <c r="K61" s="14" t="s">
        <v>622</v>
      </c>
      <c r="L61" s="14" t="s">
        <v>622</v>
      </c>
      <c r="M61" s="14" t="s">
        <v>641</v>
      </c>
      <c r="N61" s="14" t="s">
        <v>630</v>
      </c>
      <c r="O61" s="14" t="s">
        <v>622</v>
      </c>
      <c r="P61" s="14" t="s">
        <v>622</v>
      </c>
      <c r="Q61" t="s">
        <v>732</v>
      </c>
      <c r="R61" t="s">
        <v>719</v>
      </c>
      <c r="S61" t="s">
        <v>201</v>
      </c>
      <c r="Z61" s="1"/>
      <c r="AG61" s="1" t="s">
        <v>340</v>
      </c>
    </row>
    <row r="62" spans="2:33" x14ac:dyDescent="0.2">
      <c r="B62">
        <f>ID编号[id编号]*10000+ROW()-6</f>
        <v>1040056</v>
      </c>
      <c r="C62" s="2" t="s">
        <v>111</v>
      </c>
      <c r="D62">
        <v>3</v>
      </c>
      <c r="E62">
        <v>11</v>
      </c>
      <c r="F62">
        <v>1</v>
      </c>
      <c r="G62" s="14" t="s">
        <v>622</v>
      </c>
      <c r="H62" s="14" t="s">
        <v>638</v>
      </c>
      <c r="I62" s="14" t="s">
        <v>622</v>
      </c>
      <c r="J62" s="14" t="s">
        <v>622</v>
      </c>
      <c r="K62" s="14" t="s">
        <v>622</v>
      </c>
      <c r="L62" s="14" t="s">
        <v>622</v>
      </c>
      <c r="M62" s="14" t="s">
        <v>622</v>
      </c>
      <c r="N62" s="14" t="s">
        <v>622</v>
      </c>
      <c r="O62" s="14" t="s">
        <v>622</v>
      </c>
      <c r="P62" s="14" t="s">
        <v>622</v>
      </c>
      <c r="Q62" t="s">
        <v>746</v>
      </c>
      <c r="R62" t="s">
        <v>711</v>
      </c>
      <c r="S62" t="s">
        <v>712</v>
      </c>
      <c r="Z62" s="1"/>
      <c r="AG62" s="1" t="s">
        <v>341</v>
      </c>
    </row>
    <row r="63" spans="2:33" x14ac:dyDescent="0.2">
      <c r="B63">
        <f>ID编号[id编号]*10000+ROW()-6</f>
        <v>1040057</v>
      </c>
      <c r="C63" s="3" t="s">
        <v>114</v>
      </c>
      <c r="D63">
        <v>3</v>
      </c>
      <c r="E63">
        <v>16</v>
      </c>
      <c r="G63" s="14" t="s">
        <v>622</v>
      </c>
      <c r="H63" s="14" t="s">
        <v>622</v>
      </c>
      <c r="I63" s="14" t="s">
        <v>622</v>
      </c>
      <c r="J63" s="14" t="s">
        <v>622</v>
      </c>
      <c r="K63" s="14" t="s">
        <v>622</v>
      </c>
      <c r="L63" s="14" t="s">
        <v>622</v>
      </c>
      <c r="M63" s="14" t="s">
        <v>622</v>
      </c>
      <c r="N63" s="14" t="s">
        <v>622</v>
      </c>
      <c r="O63" s="14" t="s">
        <v>630</v>
      </c>
      <c r="P63" s="14" t="s">
        <v>629</v>
      </c>
      <c r="Q63" s="6" t="s">
        <v>734</v>
      </c>
      <c r="R63" s="6" t="s">
        <v>715</v>
      </c>
      <c r="S63" s="6" t="s">
        <v>179</v>
      </c>
      <c r="Z63" s="1"/>
      <c r="AG63" s="1" t="s">
        <v>342</v>
      </c>
    </row>
    <row r="64" spans="2:33" x14ac:dyDescent="0.2">
      <c r="B64">
        <f>ID编号[id编号]*10000+ROW()-6</f>
        <v>1040058</v>
      </c>
      <c r="C64" s="2" t="s">
        <v>117</v>
      </c>
      <c r="D64">
        <v>3</v>
      </c>
      <c r="E64">
        <v>1</v>
      </c>
      <c r="F64">
        <v>1</v>
      </c>
      <c r="G64" s="14" t="s">
        <v>643</v>
      </c>
      <c r="H64" s="14" t="s">
        <v>622</v>
      </c>
      <c r="I64" s="14" t="s">
        <v>622</v>
      </c>
      <c r="J64" s="14" t="s">
        <v>622</v>
      </c>
      <c r="K64" s="14" t="s">
        <v>622</v>
      </c>
      <c r="L64" s="14" t="s">
        <v>622</v>
      </c>
      <c r="M64" s="14" t="s">
        <v>622</v>
      </c>
      <c r="N64" s="14" t="s">
        <v>622</v>
      </c>
      <c r="O64" s="14" t="s">
        <v>622</v>
      </c>
      <c r="P64" s="14" t="s">
        <v>622</v>
      </c>
      <c r="Q64" t="s">
        <v>722</v>
      </c>
      <c r="R64" t="s">
        <v>261</v>
      </c>
      <c r="S64" t="s">
        <v>173</v>
      </c>
      <c r="Z64" s="1"/>
      <c r="AG64" s="1" t="s">
        <v>222</v>
      </c>
    </row>
    <row r="65" spans="2:33" x14ac:dyDescent="0.2">
      <c r="B65">
        <f>ID编号[id编号]*10000+ROW()-6</f>
        <v>1040059</v>
      </c>
      <c r="C65" s="2" t="s">
        <v>119</v>
      </c>
      <c r="D65">
        <v>3</v>
      </c>
      <c r="E65">
        <v>15</v>
      </c>
      <c r="G65" s="14" t="s">
        <v>622</v>
      </c>
      <c r="H65" s="14" t="s">
        <v>622</v>
      </c>
      <c r="I65" s="14" t="s">
        <v>629</v>
      </c>
      <c r="J65" s="14" t="s">
        <v>629</v>
      </c>
      <c r="K65" s="14" t="s">
        <v>622</v>
      </c>
      <c r="L65" s="14" t="s">
        <v>622</v>
      </c>
      <c r="M65" s="14" t="s">
        <v>631</v>
      </c>
      <c r="N65" s="14" t="s">
        <v>631</v>
      </c>
      <c r="O65" s="14" t="s">
        <v>622</v>
      </c>
      <c r="P65" s="14" t="s">
        <v>622</v>
      </c>
      <c r="Q65" t="s">
        <v>268</v>
      </c>
      <c r="R65" t="s">
        <v>721</v>
      </c>
      <c r="S65" t="s">
        <v>267</v>
      </c>
      <c r="Z65" s="1"/>
      <c r="AG65" s="1" t="s">
        <v>343</v>
      </c>
    </row>
    <row r="66" spans="2:33" x14ac:dyDescent="0.2">
      <c r="B66">
        <f>ID编号[id编号]*10000+ROW()-6</f>
        <v>1040060</v>
      </c>
      <c r="C66" s="2" t="s">
        <v>121</v>
      </c>
      <c r="D66">
        <v>3</v>
      </c>
      <c r="E66">
        <v>2</v>
      </c>
      <c r="F66">
        <v>0</v>
      </c>
      <c r="G66" s="14" t="s">
        <v>644</v>
      </c>
      <c r="H66" s="14" t="s">
        <v>622</v>
      </c>
      <c r="I66" s="14" t="s">
        <v>622</v>
      </c>
      <c r="J66" s="14" t="s">
        <v>622</v>
      </c>
      <c r="K66" s="14" t="s">
        <v>622</v>
      </c>
      <c r="L66" s="14" t="s">
        <v>622</v>
      </c>
      <c r="M66" s="14" t="s">
        <v>622</v>
      </c>
      <c r="N66" s="14" t="s">
        <v>622</v>
      </c>
      <c r="O66" s="14" t="s">
        <v>622</v>
      </c>
      <c r="P66" s="14" t="s">
        <v>622</v>
      </c>
      <c r="Q66" t="s">
        <v>735</v>
      </c>
      <c r="R66" t="s">
        <v>720</v>
      </c>
      <c r="S66" t="s">
        <v>176</v>
      </c>
      <c r="Z66" s="1"/>
      <c r="AG66" s="1" t="s">
        <v>344</v>
      </c>
    </row>
    <row r="67" spans="2:33" x14ac:dyDescent="0.2">
      <c r="B67">
        <f>ID编号[id编号]*10000+ROW()-6</f>
        <v>1040061</v>
      </c>
      <c r="C67" s="2" t="s">
        <v>58</v>
      </c>
      <c r="D67">
        <v>4</v>
      </c>
      <c r="E67">
        <v>6</v>
      </c>
      <c r="F67">
        <v>0</v>
      </c>
      <c r="G67" s="14" t="s">
        <v>637</v>
      </c>
      <c r="H67" s="14" t="s">
        <v>622</v>
      </c>
      <c r="I67" s="14" t="s">
        <v>622</v>
      </c>
      <c r="J67" s="14" t="s">
        <v>622</v>
      </c>
      <c r="K67" s="14" t="s">
        <v>622</v>
      </c>
      <c r="L67" s="14" t="s">
        <v>622</v>
      </c>
      <c r="M67" s="14" t="s">
        <v>622</v>
      </c>
      <c r="N67" s="14" t="s">
        <v>622</v>
      </c>
      <c r="O67" s="14" t="s">
        <v>622</v>
      </c>
      <c r="P67" s="14" t="s">
        <v>622</v>
      </c>
      <c r="Q67" t="s">
        <v>703</v>
      </c>
      <c r="R67" t="s">
        <v>679</v>
      </c>
      <c r="S67" t="s">
        <v>156</v>
      </c>
      <c r="T67" t="s">
        <v>808</v>
      </c>
      <c r="U67" t="s">
        <v>780</v>
      </c>
      <c r="V67" t="s">
        <v>157</v>
      </c>
      <c r="Z67" s="1"/>
      <c r="AG67" s="1" t="s">
        <v>345</v>
      </c>
    </row>
    <row r="68" spans="2:33" x14ac:dyDescent="0.2">
      <c r="B68">
        <f>ID编号[id编号]*10000+ROW()-6</f>
        <v>1040062</v>
      </c>
      <c r="C68" s="2" t="s">
        <v>616</v>
      </c>
      <c r="D68">
        <v>4</v>
      </c>
      <c r="E68">
        <v>11</v>
      </c>
      <c r="F68">
        <v>1</v>
      </c>
      <c r="G68" s="14" t="s">
        <v>622</v>
      </c>
      <c r="H68" s="14" t="s">
        <v>644</v>
      </c>
      <c r="I68" s="14" t="s">
        <v>622</v>
      </c>
      <c r="J68" s="14" t="s">
        <v>622</v>
      </c>
      <c r="K68" s="14" t="s">
        <v>622</v>
      </c>
      <c r="L68" s="14" t="s">
        <v>622</v>
      </c>
      <c r="M68" s="14" t="s">
        <v>622</v>
      </c>
      <c r="N68" s="14" t="s">
        <v>622</v>
      </c>
      <c r="O68" s="14" t="s">
        <v>622</v>
      </c>
      <c r="P68" s="14" t="s">
        <v>622</v>
      </c>
      <c r="Q68" t="s">
        <v>736</v>
      </c>
      <c r="R68" t="s">
        <v>680</v>
      </c>
      <c r="S68" t="s">
        <v>227</v>
      </c>
      <c r="T68" t="s">
        <v>279</v>
      </c>
      <c r="U68" t="s">
        <v>781</v>
      </c>
      <c r="V68" t="s">
        <v>165</v>
      </c>
      <c r="Z68" s="1"/>
      <c r="AG68" s="1" t="s">
        <v>346</v>
      </c>
    </row>
    <row r="69" spans="2:33" x14ac:dyDescent="0.2">
      <c r="B69">
        <f>ID编号[id编号]*10000+ROW()-6</f>
        <v>1040063</v>
      </c>
      <c r="C69" s="2" t="s">
        <v>71</v>
      </c>
      <c r="D69">
        <v>4</v>
      </c>
      <c r="E69">
        <v>5</v>
      </c>
      <c r="F69">
        <v>0</v>
      </c>
      <c r="G69" s="14" t="s">
        <v>637</v>
      </c>
      <c r="H69" s="14" t="s">
        <v>622</v>
      </c>
      <c r="I69" s="14" t="s">
        <v>622</v>
      </c>
      <c r="J69" s="14" t="s">
        <v>622</v>
      </c>
      <c r="K69" s="14" t="s">
        <v>622</v>
      </c>
      <c r="L69" s="14" t="s">
        <v>622</v>
      </c>
      <c r="M69" s="14" t="s">
        <v>622</v>
      </c>
      <c r="N69" s="14" t="s">
        <v>622</v>
      </c>
      <c r="O69" s="14" t="s">
        <v>622</v>
      </c>
      <c r="P69" s="14" t="s">
        <v>622</v>
      </c>
      <c r="Q69" t="s">
        <v>737</v>
      </c>
      <c r="R69" t="s">
        <v>683</v>
      </c>
      <c r="S69" t="s">
        <v>269</v>
      </c>
      <c r="T69" t="s">
        <v>809</v>
      </c>
      <c r="U69" t="s">
        <v>782</v>
      </c>
      <c r="V69" t="s">
        <v>202</v>
      </c>
      <c r="Z69" s="1"/>
      <c r="AG69" s="1" t="s">
        <v>209</v>
      </c>
    </row>
    <row r="70" spans="2:33" x14ac:dyDescent="0.2">
      <c r="B70">
        <f>ID编号[id编号]*10000+ROW()-6</f>
        <v>1040064</v>
      </c>
      <c r="C70" s="2" t="s">
        <v>72</v>
      </c>
      <c r="D70">
        <v>4</v>
      </c>
      <c r="E70">
        <v>8</v>
      </c>
      <c r="F70">
        <v>0</v>
      </c>
      <c r="G70" s="14" t="s">
        <v>645</v>
      </c>
      <c r="H70" s="14" t="s">
        <v>622</v>
      </c>
      <c r="I70" s="14" t="s">
        <v>622</v>
      </c>
      <c r="J70" s="14" t="s">
        <v>622</v>
      </c>
      <c r="K70" s="14" t="s">
        <v>622</v>
      </c>
      <c r="L70" s="14" t="s">
        <v>622</v>
      </c>
      <c r="M70" s="14" t="s">
        <v>622</v>
      </c>
      <c r="N70" s="14" t="s">
        <v>622</v>
      </c>
      <c r="O70" s="14" t="s">
        <v>622</v>
      </c>
      <c r="P70" s="14" t="s">
        <v>622</v>
      </c>
      <c r="Q70" t="s">
        <v>738</v>
      </c>
      <c r="R70" t="s">
        <v>683</v>
      </c>
      <c r="S70" t="s">
        <v>271</v>
      </c>
      <c r="T70" t="s">
        <v>809</v>
      </c>
      <c r="U70" t="s">
        <v>782</v>
      </c>
      <c r="V70" t="s">
        <v>158</v>
      </c>
      <c r="Z70" s="1"/>
      <c r="AG70" s="1" t="s">
        <v>347</v>
      </c>
    </row>
    <row r="71" spans="2:33" x14ac:dyDescent="0.2">
      <c r="B71">
        <f>ID编号[id编号]*10000+ROW()-6</f>
        <v>1040065</v>
      </c>
      <c r="C71" s="2" t="s">
        <v>73</v>
      </c>
      <c r="D71">
        <v>4</v>
      </c>
      <c r="E71">
        <v>16</v>
      </c>
      <c r="G71" s="14" t="s">
        <v>622</v>
      </c>
      <c r="H71" s="14" t="s">
        <v>622</v>
      </c>
      <c r="I71" s="14" t="s">
        <v>622</v>
      </c>
      <c r="J71" s="14" t="s">
        <v>622</v>
      </c>
      <c r="K71" s="14" t="s">
        <v>622</v>
      </c>
      <c r="L71" s="14" t="s">
        <v>622</v>
      </c>
      <c r="M71" s="14" t="s">
        <v>622</v>
      </c>
      <c r="N71" s="14" t="s">
        <v>622</v>
      </c>
      <c r="O71" s="14" t="s">
        <v>641</v>
      </c>
      <c r="P71" s="14" t="s">
        <v>642</v>
      </c>
      <c r="Q71" t="s">
        <v>726</v>
      </c>
      <c r="R71" t="s">
        <v>698</v>
      </c>
      <c r="S71" t="s">
        <v>249</v>
      </c>
      <c r="T71" t="s">
        <v>825</v>
      </c>
      <c r="U71" t="s">
        <v>783</v>
      </c>
      <c r="V71" t="s">
        <v>145</v>
      </c>
      <c r="Z71" s="1"/>
      <c r="AG71" s="1" t="s">
        <v>348</v>
      </c>
    </row>
    <row r="72" spans="2:33" s="6" customFormat="1" x14ac:dyDescent="0.2">
      <c r="B72">
        <f>ID编号[id编号]*10000+ROW()-6</f>
        <v>1040066</v>
      </c>
      <c r="C72" s="2" t="s">
        <v>76</v>
      </c>
      <c r="D72">
        <v>4</v>
      </c>
      <c r="E72">
        <v>9</v>
      </c>
      <c r="F72">
        <v>0</v>
      </c>
      <c r="G72" s="14" t="s">
        <v>637</v>
      </c>
      <c r="H72" s="14" t="s">
        <v>622</v>
      </c>
      <c r="I72" s="14" t="s">
        <v>622</v>
      </c>
      <c r="J72" s="14" t="s">
        <v>622</v>
      </c>
      <c r="K72" s="14" t="s">
        <v>622</v>
      </c>
      <c r="L72" s="14" t="s">
        <v>622</v>
      </c>
      <c r="M72" s="14" t="s">
        <v>622</v>
      </c>
      <c r="N72" s="14" t="s">
        <v>622</v>
      </c>
      <c r="O72" s="14" t="s">
        <v>622</v>
      </c>
      <c r="P72" s="14" t="s">
        <v>622</v>
      </c>
      <c r="Q72" t="s">
        <v>737</v>
      </c>
      <c r="R72" t="s">
        <v>683</v>
      </c>
      <c r="S72" t="s">
        <v>269</v>
      </c>
      <c r="T72" t="s">
        <v>811</v>
      </c>
      <c r="U72" t="s">
        <v>784</v>
      </c>
      <c r="V72" t="s">
        <v>810</v>
      </c>
      <c r="W72"/>
      <c r="X72"/>
      <c r="Y72"/>
      <c r="Z72" s="1"/>
      <c r="AA72"/>
      <c r="AB72"/>
      <c r="AC72"/>
      <c r="AD72"/>
      <c r="AE72"/>
      <c r="AF72"/>
      <c r="AG72" s="1" t="s">
        <v>210</v>
      </c>
    </row>
    <row r="73" spans="2:33" x14ac:dyDescent="0.2">
      <c r="B73">
        <f>ID编号[id编号]*10000+ROW()-6</f>
        <v>1040067</v>
      </c>
      <c r="C73" s="2" t="s">
        <v>77</v>
      </c>
      <c r="D73">
        <v>4</v>
      </c>
      <c r="E73">
        <v>10</v>
      </c>
      <c r="F73">
        <v>1</v>
      </c>
      <c r="G73" s="14" t="s">
        <v>622</v>
      </c>
      <c r="H73" s="14" t="s">
        <v>637</v>
      </c>
      <c r="I73" s="14" t="s">
        <v>622</v>
      </c>
      <c r="J73" s="14" t="s">
        <v>622</v>
      </c>
      <c r="K73" s="14" t="s">
        <v>622</v>
      </c>
      <c r="L73" s="14" t="s">
        <v>622</v>
      </c>
      <c r="M73" s="14" t="s">
        <v>622</v>
      </c>
      <c r="N73" s="14" t="s">
        <v>622</v>
      </c>
      <c r="O73" s="14" t="s">
        <v>622</v>
      </c>
      <c r="P73" s="14" t="s">
        <v>622</v>
      </c>
      <c r="Q73" t="s">
        <v>740</v>
      </c>
      <c r="R73" t="s">
        <v>684</v>
      </c>
      <c r="S73" t="s">
        <v>270</v>
      </c>
      <c r="T73" t="s">
        <v>812</v>
      </c>
      <c r="U73" t="s">
        <v>785</v>
      </c>
      <c r="V73" t="s">
        <v>245</v>
      </c>
      <c r="Z73" s="1"/>
      <c r="AG73" s="1" t="s">
        <v>349</v>
      </c>
    </row>
    <row r="74" spans="2:33" s="26" customFormat="1" x14ac:dyDescent="0.2">
      <c r="B74" s="26">
        <f>ID编号[id编号]*10000+ROW()-6</f>
        <v>1040068</v>
      </c>
      <c r="C74" s="27" t="s">
        <v>81</v>
      </c>
      <c r="D74" s="26">
        <v>4</v>
      </c>
      <c r="E74" s="26">
        <v>16</v>
      </c>
      <c r="G74" s="28" t="s">
        <v>622</v>
      </c>
      <c r="H74" s="28" t="s">
        <v>622</v>
      </c>
      <c r="I74" s="28" t="s">
        <v>622</v>
      </c>
      <c r="J74" s="28" t="s">
        <v>622</v>
      </c>
      <c r="K74" s="28" t="s">
        <v>622</v>
      </c>
      <c r="L74" s="28" t="s">
        <v>622</v>
      </c>
      <c r="M74" s="28" t="s">
        <v>622</v>
      </c>
      <c r="N74" s="28" t="s">
        <v>622</v>
      </c>
      <c r="O74" s="28" t="s">
        <v>632</v>
      </c>
      <c r="P74" s="28" t="s">
        <v>623</v>
      </c>
      <c r="Q74" s="26" t="s">
        <v>730</v>
      </c>
      <c r="R74" s="26" t="s">
        <v>682</v>
      </c>
      <c r="S74" s="26" t="s">
        <v>146</v>
      </c>
      <c r="T74" s="29" t="s">
        <v>280</v>
      </c>
      <c r="U74" s="26" t="s">
        <v>786</v>
      </c>
      <c r="V74" s="26" t="s">
        <v>147</v>
      </c>
      <c r="Z74" s="30"/>
      <c r="AG74" s="30" t="s">
        <v>350</v>
      </c>
    </row>
    <row r="75" spans="2:33" x14ac:dyDescent="0.2">
      <c r="B75" s="6">
        <f>ID编号[id编号]*10000+ROW()-6</f>
        <v>1040069</v>
      </c>
      <c r="C75" s="3" t="s">
        <v>82</v>
      </c>
      <c r="D75" s="6">
        <v>4</v>
      </c>
      <c r="E75" s="6">
        <v>10</v>
      </c>
      <c r="F75" s="6">
        <v>1</v>
      </c>
      <c r="G75" s="15" t="s">
        <v>622</v>
      </c>
      <c r="H75" s="16" t="s">
        <v>627</v>
      </c>
      <c r="I75" s="15" t="s">
        <v>622</v>
      </c>
      <c r="J75" s="15" t="s">
        <v>622</v>
      </c>
      <c r="K75" s="15" t="s">
        <v>622</v>
      </c>
      <c r="L75" s="15" t="s">
        <v>622</v>
      </c>
      <c r="M75" s="15" t="s">
        <v>622</v>
      </c>
      <c r="N75" s="15" t="s">
        <v>622</v>
      </c>
      <c r="O75" s="15" t="s">
        <v>622</v>
      </c>
      <c r="P75" s="15" t="s">
        <v>622</v>
      </c>
      <c r="Q75" s="6" t="s">
        <v>741</v>
      </c>
      <c r="R75" s="6" t="s">
        <v>679</v>
      </c>
      <c r="S75" s="6" t="s">
        <v>166</v>
      </c>
      <c r="T75" s="7" t="s">
        <v>813</v>
      </c>
      <c r="U75" s="7" t="s">
        <v>787</v>
      </c>
      <c r="V75" s="7" t="s">
        <v>167</v>
      </c>
      <c r="W75" s="6"/>
      <c r="X75" s="6"/>
      <c r="Y75" s="6"/>
      <c r="Z75" s="1"/>
      <c r="AA75" s="6"/>
      <c r="AB75" s="6"/>
      <c r="AC75" s="6"/>
      <c r="AD75" s="6"/>
      <c r="AE75" s="6"/>
      <c r="AF75" s="6"/>
      <c r="AG75" s="1" t="s">
        <v>211</v>
      </c>
    </row>
    <row r="76" spans="2:33" x14ac:dyDescent="0.2">
      <c r="B76">
        <f>ID编号[id编号]*10000+ROW()-6</f>
        <v>1040070</v>
      </c>
      <c r="C76" s="2" t="s">
        <v>83</v>
      </c>
      <c r="D76">
        <v>4</v>
      </c>
      <c r="E76">
        <v>0</v>
      </c>
      <c r="F76">
        <v>1</v>
      </c>
      <c r="G76" s="14" t="s">
        <v>622</v>
      </c>
      <c r="H76" s="14" t="s">
        <v>645</v>
      </c>
      <c r="I76" s="14" t="s">
        <v>622</v>
      </c>
      <c r="J76" s="14" t="s">
        <v>622</v>
      </c>
      <c r="K76" s="14" t="s">
        <v>622</v>
      </c>
      <c r="L76" s="14" t="s">
        <v>622</v>
      </c>
      <c r="M76" s="14" t="s">
        <v>622</v>
      </c>
      <c r="N76" s="14" t="s">
        <v>622</v>
      </c>
      <c r="O76" s="14" t="s">
        <v>622</v>
      </c>
      <c r="P76" s="14" t="s">
        <v>622</v>
      </c>
      <c r="Q76" t="s">
        <v>736</v>
      </c>
      <c r="R76" t="s">
        <v>680</v>
      </c>
      <c r="S76" t="s">
        <v>227</v>
      </c>
      <c r="T76" t="s">
        <v>281</v>
      </c>
      <c r="U76" t="s">
        <v>788</v>
      </c>
      <c r="V76" t="s">
        <v>229</v>
      </c>
      <c r="Z76" s="1"/>
      <c r="AG76" s="1" t="s">
        <v>212</v>
      </c>
    </row>
    <row r="77" spans="2:33" x14ac:dyDescent="0.2">
      <c r="B77">
        <f>ID编号[id编号]*10000+ROW()-6</f>
        <v>1040071</v>
      </c>
      <c r="C77" s="2" t="s">
        <v>87</v>
      </c>
      <c r="D77">
        <v>4</v>
      </c>
      <c r="E77">
        <v>6</v>
      </c>
      <c r="F77">
        <v>1</v>
      </c>
      <c r="G77" s="14" t="s">
        <v>622</v>
      </c>
      <c r="H77" s="14" t="s">
        <v>637</v>
      </c>
      <c r="I77" s="14" t="s">
        <v>622</v>
      </c>
      <c r="J77" s="14" t="s">
        <v>622</v>
      </c>
      <c r="K77" s="14" t="s">
        <v>622</v>
      </c>
      <c r="L77" s="14" t="s">
        <v>622</v>
      </c>
      <c r="M77" s="14" t="s">
        <v>622</v>
      </c>
      <c r="N77" s="14" t="s">
        <v>622</v>
      </c>
      <c r="O77" s="14" t="s">
        <v>622</v>
      </c>
      <c r="P77" s="14" t="s">
        <v>622</v>
      </c>
      <c r="Q77" t="s">
        <v>741</v>
      </c>
      <c r="R77" t="s">
        <v>679</v>
      </c>
      <c r="S77" t="s">
        <v>166</v>
      </c>
      <c r="T77" t="s">
        <v>282</v>
      </c>
      <c r="U77" t="s">
        <v>789</v>
      </c>
      <c r="V77" t="s">
        <v>168</v>
      </c>
      <c r="Z77" s="1"/>
      <c r="AG77" s="1" t="s">
        <v>213</v>
      </c>
    </row>
    <row r="78" spans="2:33" x14ac:dyDescent="0.2">
      <c r="B78">
        <f>ID编号[id编号]*10000+ROW()-6</f>
        <v>1040072</v>
      </c>
      <c r="C78" s="2" t="s">
        <v>88</v>
      </c>
      <c r="D78">
        <v>4</v>
      </c>
      <c r="E78">
        <v>9</v>
      </c>
      <c r="F78">
        <v>1</v>
      </c>
      <c r="G78" s="14" t="s">
        <v>622</v>
      </c>
      <c r="H78" s="14" t="s">
        <v>627</v>
      </c>
      <c r="I78" s="14" t="s">
        <v>622</v>
      </c>
      <c r="J78" s="14" t="s">
        <v>622</v>
      </c>
      <c r="K78" s="14" t="s">
        <v>622</v>
      </c>
      <c r="L78" s="14" t="s">
        <v>622</v>
      </c>
      <c r="M78" s="14" t="s">
        <v>622</v>
      </c>
      <c r="N78" s="14" t="s">
        <v>622</v>
      </c>
      <c r="O78" s="14" t="s">
        <v>622</v>
      </c>
      <c r="P78" s="14" t="s">
        <v>622</v>
      </c>
      <c r="Q78" t="s">
        <v>741</v>
      </c>
      <c r="R78" t="s">
        <v>679</v>
      </c>
      <c r="S78" t="s">
        <v>166</v>
      </c>
      <c r="T78" t="s">
        <v>282</v>
      </c>
      <c r="U78" t="s">
        <v>789</v>
      </c>
      <c r="V78" t="s">
        <v>169</v>
      </c>
      <c r="Z78" s="1"/>
      <c r="AG78" s="1" t="s">
        <v>214</v>
      </c>
    </row>
    <row r="79" spans="2:33" x14ac:dyDescent="0.2">
      <c r="B79">
        <f>ID编号[id编号]*10000+ROW()-6</f>
        <v>1040073</v>
      </c>
      <c r="C79" s="2" t="s">
        <v>91</v>
      </c>
      <c r="D79">
        <v>4</v>
      </c>
      <c r="E79">
        <v>4</v>
      </c>
      <c r="F79">
        <v>0</v>
      </c>
      <c r="G79" s="14" t="s">
        <v>645</v>
      </c>
      <c r="H79" s="14" t="s">
        <v>622</v>
      </c>
      <c r="I79" s="14" t="s">
        <v>622</v>
      </c>
      <c r="J79" s="14" t="s">
        <v>622</v>
      </c>
      <c r="K79" s="14" t="s">
        <v>646</v>
      </c>
      <c r="L79" s="14" t="s">
        <v>622</v>
      </c>
      <c r="M79" s="14" t="s">
        <v>622</v>
      </c>
      <c r="N79" s="14" t="s">
        <v>622</v>
      </c>
      <c r="O79" s="14" t="s">
        <v>622</v>
      </c>
      <c r="P79" s="14" t="s">
        <v>622</v>
      </c>
      <c r="Q79" t="s">
        <v>742</v>
      </c>
      <c r="R79" t="s">
        <v>683</v>
      </c>
      <c r="S79" t="s">
        <v>241</v>
      </c>
      <c r="T79" t="s">
        <v>814</v>
      </c>
      <c r="U79" t="s">
        <v>790</v>
      </c>
      <c r="V79" t="s">
        <v>159</v>
      </c>
      <c r="Z79" s="1"/>
      <c r="AG79" s="1" t="s">
        <v>215</v>
      </c>
    </row>
    <row r="80" spans="2:33" x14ac:dyDescent="0.2">
      <c r="B80">
        <f>ID编号[id编号]*10000+ROW()-6</f>
        <v>1040074</v>
      </c>
      <c r="C80" s="2" t="s">
        <v>92</v>
      </c>
      <c r="D80">
        <v>4</v>
      </c>
      <c r="E80">
        <v>9</v>
      </c>
      <c r="F80">
        <v>1</v>
      </c>
      <c r="G80" s="14" t="s">
        <v>622</v>
      </c>
      <c r="H80" s="14" t="s">
        <v>637</v>
      </c>
      <c r="I80" s="14" t="s">
        <v>622</v>
      </c>
      <c r="J80" s="14" t="s">
        <v>622</v>
      </c>
      <c r="K80" s="14" t="s">
        <v>622</v>
      </c>
      <c r="L80" s="14" t="s">
        <v>622</v>
      </c>
      <c r="M80" s="14" t="s">
        <v>622</v>
      </c>
      <c r="N80" s="14" t="s">
        <v>622</v>
      </c>
      <c r="O80" s="14" t="s">
        <v>622</v>
      </c>
      <c r="P80" s="14" t="s">
        <v>622</v>
      </c>
      <c r="Q80" t="s">
        <v>703</v>
      </c>
      <c r="R80" t="s">
        <v>679</v>
      </c>
      <c r="S80" t="s">
        <v>156</v>
      </c>
      <c r="T80" t="s">
        <v>815</v>
      </c>
      <c r="U80" t="s">
        <v>791</v>
      </c>
      <c r="V80" t="s">
        <v>203</v>
      </c>
      <c r="Z80" s="1"/>
      <c r="AG80" s="1" t="s">
        <v>351</v>
      </c>
    </row>
    <row r="81" spans="2:33" x14ac:dyDescent="0.2">
      <c r="B81">
        <f>ID编号[id编号]*10000+ROW()-6</f>
        <v>1040075</v>
      </c>
      <c r="C81" s="2" t="s">
        <v>99</v>
      </c>
      <c r="D81">
        <v>4</v>
      </c>
      <c r="E81">
        <v>2</v>
      </c>
      <c r="F81">
        <v>0</v>
      </c>
      <c r="G81" s="14" t="s">
        <v>637</v>
      </c>
      <c r="H81" s="14" t="s">
        <v>622</v>
      </c>
      <c r="I81" s="14" t="s">
        <v>622</v>
      </c>
      <c r="J81" s="14" t="s">
        <v>622</v>
      </c>
      <c r="K81" s="14" t="s">
        <v>622</v>
      </c>
      <c r="L81" s="14" t="s">
        <v>622</v>
      </c>
      <c r="M81" s="14" t="s">
        <v>622</v>
      </c>
      <c r="N81" s="14" t="s">
        <v>622</v>
      </c>
      <c r="O81" s="14" t="s">
        <v>622</v>
      </c>
      <c r="P81" s="14" t="s">
        <v>622</v>
      </c>
      <c r="Q81" t="s">
        <v>743</v>
      </c>
      <c r="R81" t="s">
        <v>707</v>
      </c>
      <c r="S81" t="s">
        <v>160</v>
      </c>
      <c r="T81" t="s">
        <v>283</v>
      </c>
      <c r="U81" t="s">
        <v>792</v>
      </c>
      <c r="V81" t="s">
        <v>161</v>
      </c>
      <c r="Z81" s="1"/>
      <c r="AG81" s="1" t="s">
        <v>219</v>
      </c>
    </row>
    <row r="82" spans="2:33" x14ac:dyDescent="0.2">
      <c r="B82" s="6">
        <f>ID编号[id编号]*10000+ROW()-6</f>
        <v>1040076</v>
      </c>
      <c r="C82" s="3" t="s">
        <v>252</v>
      </c>
      <c r="D82" s="6">
        <v>4</v>
      </c>
      <c r="E82" s="6">
        <v>15</v>
      </c>
      <c r="F82" s="6"/>
      <c r="G82" s="15" t="s">
        <v>622</v>
      </c>
      <c r="H82" s="15" t="s">
        <v>622</v>
      </c>
      <c r="I82" s="16" t="s">
        <v>647</v>
      </c>
      <c r="J82" s="16" t="s">
        <v>632</v>
      </c>
      <c r="K82" s="15" t="s">
        <v>622</v>
      </c>
      <c r="L82" s="15" t="s">
        <v>622</v>
      </c>
      <c r="M82" s="16" t="s">
        <v>630</v>
      </c>
      <c r="N82" s="16" t="s">
        <v>625</v>
      </c>
      <c r="O82" s="15" t="s">
        <v>622</v>
      </c>
      <c r="P82" s="16" t="s">
        <v>622</v>
      </c>
      <c r="Q82" s="6" t="s">
        <v>890</v>
      </c>
      <c r="R82" s="6" t="s">
        <v>891</v>
      </c>
      <c r="S82" s="6" t="s">
        <v>739</v>
      </c>
      <c r="T82" s="6" t="s">
        <v>284</v>
      </c>
      <c r="U82" s="6" t="s">
        <v>793</v>
      </c>
      <c r="V82" s="6" t="s">
        <v>151</v>
      </c>
      <c r="W82" s="6"/>
      <c r="X82" s="6"/>
      <c r="Y82" s="6"/>
      <c r="Z82" s="1"/>
      <c r="AA82" s="6"/>
      <c r="AB82" s="6"/>
      <c r="AC82" s="6"/>
      <c r="AD82" s="6"/>
      <c r="AE82" s="6"/>
      <c r="AF82" s="6"/>
      <c r="AG82" s="1"/>
    </row>
    <row r="83" spans="2:33" x14ac:dyDescent="0.2">
      <c r="B83">
        <f>ID编号[id编号]*10000+ROW()-6</f>
        <v>1040077</v>
      </c>
      <c r="C83" s="2" t="s">
        <v>105</v>
      </c>
      <c r="D83">
        <v>4</v>
      </c>
      <c r="E83">
        <v>11</v>
      </c>
      <c r="F83">
        <v>1</v>
      </c>
      <c r="G83" s="14" t="s">
        <v>622</v>
      </c>
      <c r="H83" s="14" t="s">
        <v>634</v>
      </c>
      <c r="I83" s="14" t="s">
        <v>622</v>
      </c>
      <c r="J83" s="14" t="s">
        <v>622</v>
      </c>
      <c r="K83" s="14" t="s">
        <v>622</v>
      </c>
      <c r="L83" s="14" t="s">
        <v>622</v>
      </c>
      <c r="M83" s="14" t="s">
        <v>622</v>
      </c>
      <c r="N83" s="14" t="s">
        <v>622</v>
      </c>
      <c r="O83" s="14" t="s">
        <v>622</v>
      </c>
      <c r="P83" s="14" t="s">
        <v>622</v>
      </c>
      <c r="Q83" t="s">
        <v>744</v>
      </c>
      <c r="R83" t="s">
        <v>684</v>
      </c>
      <c r="S83" t="s">
        <v>272</v>
      </c>
      <c r="T83" t="s">
        <v>816</v>
      </c>
      <c r="U83" t="s">
        <v>794</v>
      </c>
      <c r="V83" t="s">
        <v>285</v>
      </c>
      <c r="Z83" s="1"/>
      <c r="AG83" s="1" t="s">
        <v>220</v>
      </c>
    </row>
    <row r="84" spans="2:33" x14ac:dyDescent="0.2">
      <c r="B84">
        <f>ID编号[id编号]*10000+ROW()-6</f>
        <v>1040078</v>
      </c>
      <c r="C84" s="2" t="s">
        <v>112</v>
      </c>
      <c r="D84">
        <v>4</v>
      </c>
      <c r="E84">
        <v>11</v>
      </c>
      <c r="F84">
        <v>0</v>
      </c>
      <c r="G84" s="14" t="s">
        <v>648</v>
      </c>
      <c r="H84" s="14" t="s">
        <v>622</v>
      </c>
      <c r="I84" s="14" t="s">
        <v>622</v>
      </c>
      <c r="J84" s="14" t="s">
        <v>622</v>
      </c>
      <c r="K84" s="14" t="s">
        <v>649</v>
      </c>
      <c r="L84" s="14" t="s">
        <v>622</v>
      </c>
      <c r="M84" s="14" t="s">
        <v>622</v>
      </c>
      <c r="N84" s="14" t="s">
        <v>622</v>
      </c>
      <c r="O84" s="14" t="s">
        <v>622</v>
      </c>
      <c r="P84" s="14" t="s">
        <v>622</v>
      </c>
      <c r="Q84" t="s">
        <v>746</v>
      </c>
      <c r="R84" t="s">
        <v>745</v>
      </c>
      <c r="S84" t="s">
        <v>273</v>
      </c>
      <c r="T84" t="s">
        <v>286</v>
      </c>
      <c r="U84" t="s">
        <v>795</v>
      </c>
      <c r="V84" t="s">
        <v>232</v>
      </c>
      <c r="Z84" s="1"/>
      <c r="AG84" s="1" t="s">
        <v>352</v>
      </c>
    </row>
    <row r="85" spans="2:33" s="6" customFormat="1" x14ac:dyDescent="0.2">
      <c r="B85" s="6">
        <f>ID编号[id编号]*10000+ROW()-6</f>
        <v>1040079</v>
      </c>
      <c r="C85" s="3" t="s">
        <v>115</v>
      </c>
      <c r="D85" s="6">
        <v>4</v>
      </c>
      <c r="E85" s="6">
        <v>14</v>
      </c>
      <c r="G85" s="15" t="s">
        <v>622</v>
      </c>
      <c r="H85" s="15" t="s">
        <v>622</v>
      </c>
      <c r="I85" s="16" t="s">
        <v>629</v>
      </c>
      <c r="J85" s="16" t="s">
        <v>629</v>
      </c>
      <c r="K85" s="15" t="s">
        <v>622</v>
      </c>
      <c r="L85" s="15" t="s">
        <v>622</v>
      </c>
      <c r="M85" s="16" t="s">
        <v>650</v>
      </c>
      <c r="N85" s="16" t="s">
        <v>632</v>
      </c>
      <c r="O85" s="15" t="s">
        <v>622</v>
      </c>
      <c r="P85" s="15" t="s">
        <v>622</v>
      </c>
      <c r="Q85" s="6" t="s">
        <v>734</v>
      </c>
      <c r="R85" s="6" t="s">
        <v>715</v>
      </c>
      <c r="S85" s="6" t="s">
        <v>179</v>
      </c>
      <c r="T85" s="6" t="s">
        <v>817</v>
      </c>
      <c r="U85" s="6" t="s">
        <v>796</v>
      </c>
      <c r="V85" s="6" t="s">
        <v>152</v>
      </c>
      <c r="Z85" s="1"/>
      <c r="AG85" s="1"/>
    </row>
    <row r="86" spans="2:33" x14ac:dyDescent="0.2">
      <c r="B86">
        <f>ID编号[id编号]*10000+ROW()-6</f>
        <v>1040080</v>
      </c>
      <c r="C86" s="2" t="s">
        <v>118</v>
      </c>
      <c r="D86">
        <v>4</v>
      </c>
      <c r="E86">
        <v>0</v>
      </c>
      <c r="F86">
        <v>1</v>
      </c>
      <c r="G86" s="14" t="s">
        <v>622</v>
      </c>
      <c r="H86" s="14" t="s">
        <v>634</v>
      </c>
      <c r="I86" s="14" t="s">
        <v>622</v>
      </c>
      <c r="J86" s="14" t="s">
        <v>622</v>
      </c>
      <c r="K86" s="14" t="s">
        <v>622</v>
      </c>
      <c r="L86" s="14" t="s">
        <v>622</v>
      </c>
      <c r="M86" s="14" t="s">
        <v>622</v>
      </c>
      <c r="N86" s="14" t="s">
        <v>622</v>
      </c>
      <c r="O86" s="14" t="s">
        <v>622</v>
      </c>
      <c r="P86" s="14" t="s">
        <v>622</v>
      </c>
      <c r="Q86" t="s">
        <v>722</v>
      </c>
      <c r="R86" t="s">
        <v>716</v>
      </c>
      <c r="S86" t="s">
        <v>173</v>
      </c>
      <c r="T86" t="s">
        <v>819</v>
      </c>
      <c r="U86" t="s">
        <v>118</v>
      </c>
      <c r="V86" t="s">
        <v>818</v>
      </c>
      <c r="Z86" s="1"/>
      <c r="AG86" s="1" t="s">
        <v>223</v>
      </c>
    </row>
    <row r="87" spans="2:33" x14ac:dyDescent="0.2">
      <c r="B87">
        <f>ID编号[id编号]*10000+ROW()-6</f>
        <v>1040081</v>
      </c>
      <c r="C87" s="2" t="s">
        <v>124</v>
      </c>
      <c r="D87">
        <v>4</v>
      </c>
      <c r="E87">
        <v>1</v>
      </c>
      <c r="F87">
        <v>1</v>
      </c>
      <c r="G87" s="14" t="s">
        <v>622</v>
      </c>
      <c r="H87" s="14" t="s">
        <v>634</v>
      </c>
      <c r="I87" s="14" t="s">
        <v>622</v>
      </c>
      <c r="J87" s="14" t="s">
        <v>622</v>
      </c>
      <c r="K87" s="14" t="s">
        <v>622</v>
      </c>
      <c r="L87" s="14" t="s">
        <v>622</v>
      </c>
      <c r="M87" s="14" t="s">
        <v>622</v>
      </c>
      <c r="N87" s="14" t="s">
        <v>622</v>
      </c>
      <c r="O87" s="14" t="s">
        <v>622</v>
      </c>
      <c r="P87" s="14" t="s">
        <v>622</v>
      </c>
      <c r="Q87" t="s">
        <v>760</v>
      </c>
      <c r="R87" t="s">
        <v>680</v>
      </c>
      <c r="S87" t="s">
        <v>235</v>
      </c>
      <c r="T87" t="s">
        <v>820</v>
      </c>
      <c r="U87" t="s">
        <v>797</v>
      </c>
      <c r="V87" t="s">
        <v>172</v>
      </c>
      <c r="Z87" s="1"/>
      <c r="AG87" s="1" t="s">
        <v>224</v>
      </c>
    </row>
    <row r="88" spans="2:33" x14ac:dyDescent="0.2">
      <c r="B88">
        <f>ID编号[id编号]*10000+ROW()-6</f>
        <v>1040082</v>
      </c>
      <c r="C88" s="2" t="s">
        <v>126</v>
      </c>
      <c r="D88">
        <v>4</v>
      </c>
      <c r="E88">
        <v>9</v>
      </c>
      <c r="F88">
        <v>0</v>
      </c>
      <c r="G88" s="14" t="s">
        <v>637</v>
      </c>
      <c r="H88" s="14" t="s">
        <v>622</v>
      </c>
      <c r="I88" s="14" t="s">
        <v>622</v>
      </c>
      <c r="J88" s="14" t="s">
        <v>622</v>
      </c>
      <c r="K88" s="14" t="s">
        <v>622</v>
      </c>
      <c r="L88" s="14" t="s">
        <v>622</v>
      </c>
      <c r="M88" s="14" t="s">
        <v>622</v>
      </c>
      <c r="N88" s="14" t="s">
        <v>622</v>
      </c>
      <c r="O88" s="14" t="s">
        <v>622</v>
      </c>
      <c r="P88" s="14" t="s">
        <v>622</v>
      </c>
      <c r="Q88" t="s">
        <v>755</v>
      </c>
      <c r="R88" t="s">
        <v>707</v>
      </c>
      <c r="S88" t="s">
        <v>747</v>
      </c>
      <c r="T88" t="s">
        <v>821</v>
      </c>
      <c r="U88" t="s">
        <v>798</v>
      </c>
      <c r="V88" t="s">
        <v>163</v>
      </c>
      <c r="Z88" s="1"/>
      <c r="AG88" s="1"/>
    </row>
    <row r="89" spans="2:33" x14ac:dyDescent="0.2">
      <c r="B89">
        <f>ID编号[id编号]*10000+ROW()-6</f>
        <v>1040083</v>
      </c>
      <c r="C89" s="2" t="s">
        <v>128</v>
      </c>
      <c r="D89">
        <v>4</v>
      </c>
      <c r="E89">
        <v>11</v>
      </c>
      <c r="F89">
        <v>1</v>
      </c>
      <c r="G89" s="14" t="s">
        <v>622</v>
      </c>
      <c r="H89" s="14" t="s">
        <v>634</v>
      </c>
      <c r="I89" s="14" t="s">
        <v>622</v>
      </c>
      <c r="J89" s="14" t="s">
        <v>622</v>
      </c>
      <c r="K89" s="14" t="s">
        <v>622</v>
      </c>
      <c r="L89" s="14" t="s">
        <v>622</v>
      </c>
      <c r="M89" s="14" t="s">
        <v>622</v>
      </c>
      <c r="N89" s="14" t="s">
        <v>622</v>
      </c>
      <c r="O89" s="14" t="s">
        <v>622</v>
      </c>
      <c r="P89" s="14" t="s">
        <v>622</v>
      </c>
      <c r="Q89" t="s">
        <v>756</v>
      </c>
      <c r="R89" t="s">
        <v>699</v>
      </c>
      <c r="S89" t="s">
        <v>171</v>
      </c>
      <c r="T89" t="s">
        <v>823</v>
      </c>
      <c r="U89" t="s">
        <v>799</v>
      </c>
      <c r="V89" t="s">
        <v>822</v>
      </c>
      <c r="AG89" s="1"/>
    </row>
    <row r="90" spans="2:33" x14ac:dyDescent="0.2">
      <c r="B90">
        <f>ID编号[id编号]*10000+ROW()-6</f>
        <v>1040084</v>
      </c>
      <c r="C90" s="2" t="s">
        <v>130</v>
      </c>
      <c r="D90">
        <v>4</v>
      </c>
      <c r="E90">
        <v>16</v>
      </c>
      <c r="G90" s="14" t="s">
        <v>622</v>
      </c>
      <c r="H90" s="14" t="s">
        <v>622</v>
      </c>
      <c r="I90" s="14" t="s">
        <v>622</v>
      </c>
      <c r="J90" s="14" t="s">
        <v>622</v>
      </c>
      <c r="K90" s="14" t="s">
        <v>622</v>
      </c>
      <c r="L90" s="14" t="s">
        <v>622</v>
      </c>
      <c r="M90" s="14" t="s">
        <v>622</v>
      </c>
      <c r="N90" s="14" t="s">
        <v>622</v>
      </c>
      <c r="O90" s="14" t="s">
        <v>623</v>
      </c>
      <c r="P90" s="14" t="s">
        <v>632</v>
      </c>
      <c r="Q90" t="s">
        <v>763</v>
      </c>
      <c r="R90" t="s">
        <v>682</v>
      </c>
      <c r="S90" t="s">
        <v>762</v>
      </c>
      <c r="T90" t="s">
        <v>287</v>
      </c>
      <c r="U90" t="s">
        <v>800</v>
      </c>
      <c r="V90" t="s">
        <v>153</v>
      </c>
      <c r="AG90" s="1"/>
    </row>
    <row r="91" spans="2:33" x14ac:dyDescent="0.2">
      <c r="B91">
        <f>ID编号[id编号]*10000+ROW()-6</f>
        <v>1040085</v>
      </c>
      <c r="C91" s="2" t="s">
        <v>132</v>
      </c>
      <c r="D91">
        <v>4</v>
      </c>
      <c r="E91">
        <v>0</v>
      </c>
      <c r="F91">
        <v>0</v>
      </c>
      <c r="G91" s="14" t="s">
        <v>634</v>
      </c>
      <c r="H91" s="14" t="s">
        <v>622</v>
      </c>
      <c r="I91" s="14" t="s">
        <v>622</v>
      </c>
      <c r="J91" s="14" t="s">
        <v>622</v>
      </c>
      <c r="K91" s="14" t="s">
        <v>622</v>
      </c>
      <c r="L91" s="14" t="s">
        <v>622</v>
      </c>
      <c r="M91" s="14" t="s">
        <v>622</v>
      </c>
      <c r="N91" s="14" t="s">
        <v>622</v>
      </c>
      <c r="O91" s="14" t="s">
        <v>622</v>
      </c>
      <c r="P91" s="14" t="s">
        <v>622</v>
      </c>
      <c r="Q91" t="s">
        <v>757</v>
      </c>
      <c r="R91" t="s">
        <v>707</v>
      </c>
      <c r="S91" t="s">
        <v>162</v>
      </c>
      <c r="T91" t="s">
        <v>288</v>
      </c>
      <c r="U91" t="s">
        <v>778</v>
      </c>
      <c r="V91" t="s">
        <v>164</v>
      </c>
      <c r="AG91" s="1"/>
    </row>
    <row r="92" spans="2:33" x14ac:dyDescent="0.2">
      <c r="B92" s="8">
        <f>ID编号[id编号]*10000+ROW()-6</f>
        <v>1040086</v>
      </c>
      <c r="C92" s="4" t="s">
        <v>134</v>
      </c>
      <c r="D92" s="8">
        <v>4</v>
      </c>
      <c r="E92" s="8">
        <v>13</v>
      </c>
      <c r="F92" s="8"/>
      <c r="G92" s="17" t="s">
        <v>622</v>
      </c>
      <c r="H92" s="17" t="s">
        <v>622</v>
      </c>
      <c r="I92" s="17" t="s">
        <v>622</v>
      </c>
      <c r="J92" s="17" t="s">
        <v>622</v>
      </c>
      <c r="K92" s="18" t="s">
        <v>629</v>
      </c>
      <c r="L92" s="18" t="s">
        <v>629</v>
      </c>
      <c r="M92" s="17" t="s">
        <v>622</v>
      </c>
      <c r="N92" s="17" t="s">
        <v>622</v>
      </c>
      <c r="O92" s="18" t="s">
        <v>625</v>
      </c>
      <c r="P92" s="18" t="s">
        <v>625</v>
      </c>
      <c r="Q92" s="8" t="s">
        <v>758</v>
      </c>
      <c r="R92" s="8" t="s">
        <v>714</v>
      </c>
      <c r="S92" t="s">
        <v>761</v>
      </c>
      <c r="T92" s="8" t="s">
        <v>829</v>
      </c>
      <c r="U92" s="8" t="s">
        <v>776</v>
      </c>
      <c r="V92" s="8" t="s">
        <v>828</v>
      </c>
      <c r="W92" s="8"/>
      <c r="X92" s="8"/>
      <c r="Y92" s="8"/>
      <c r="Z92" s="8"/>
      <c r="AA92" s="8"/>
      <c r="AB92" s="8"/>
      <c r="AC92" s="8"/>
      <c r="AD92" s="8"/>
      <c r="AE92" s="8"/>
      <c r="AF92" s="8"/>
      <c r="AG92" s="1"/>
    </row>
    <row r="93" spans="2:33" x14ac:dyDescent="0.2">
      <c r="B93" s="6">
        <f>ID编号[id编号]*10000+ROW()-6</f>
        <v>1040087</v>
      </c>
      <c r="C93" s="3" t="s">
        <v>137</v>
      </c>
      <c r="D93" s="6">
        <v>4</v>
      </c>
      <c r="E93" s="6">
        <v>14</v>
      </c>
      <c r="F93" s="6"/>
      <c r="G93" s="15" t="s">
        <v>622</v>
      </c>
      <c r="H93" s="15" t="s">
        <v>622</v>
      </c>
      <c r="I93" s="16" t="s">
        <v>629</v>
      </c>
      <c r="J93" s="16" t="s">
        <v>629</v>
      </c>
      <c r="K93" s="15" t="s">
        <v>622</v>
      </c>
      <c r="L93" s="15" t="s">
        <v>622</v>
      </c>
      <c r="M93" s="16" t="s">
        <v>629</v>
      </c>
      <c r="N93" s="16" t="s">
        <v>631</v>
      </c>
      <c r="O93" s="15" t="s">
        <v>622</v>
      </c>
      <c r="P93" s="15" t="s">
        <v>622</v>
      </c>
      <c r="Q93" s="6" t="s">
        <v>730</v>
      </c>
      <c r="R93" s="6" t="s">
        <v>682</v>
      </c>
      <c r="S93" t="s">
        <v>274</v>
      </c>
      <c r="T93" s="6" t="s">
        <v>807</v>
      </c>
      <c r="U93" s="6" t="s">
        <v>774</v>
      </c>
      <c r="V93" s="6" t="s">
        <v>154</v>
      </c>
      <c r="W93" s="6"/>
      <c r="X93" s="6"/>
      <c r="Y93" s="6"/>
      <c r="Z93" s="6"/>
      <c r="AA93" s="6"/>
      <c r="AB93" s="6"/>
      <c r="AC93" s="6"/>
      <c r="AD93" s="6"/>
      <c r="AE93" s="6"/>
      <c r="AF93" s="6"/>
      <c r="AG93" s="1"/>
    </row>
    <row r="94" spans="2:33" x14ac:dyDescent="0.2">
      <c r="B94" s="6">
        <f>ID编号[id编号]*10000+ROW()-6</f>
        <v>1040088</v>
      </c>
      <c r="C94" s="3" t="s">
        <v>138</v>
      </c>
      <c r="D94" s="6">
        <v>4</v>
      </c>
      <c r="E94" s="6">
        <v>15</v>
      </c>
      <c r="F94" s="6"/>
      <c r="G94" s="15" t="s">
        <v>622</v>
      </c>
      <c r="H94" s="15" t="s">
        <v>622</v>
      </c>
      <c r="I94" s="16" t="s">
        <v>629</v>
      </c>
      <c r="J94" s="16" t="s">
        <v>629</v>
      </c>
      <c r="K94" s="15" t="s">
        <v>622</v>
      </c>
      <c r="L94" s="15" t="s">
        <v>622</v>
      </c>
      <c r="M94" s="16" t="s">
        <v>629</v>
      </c>
      <c r="N94" s="16" t="s">
        <v>631</v>
      </c>
      <c r="O94" s="15" t="s">
        <v>622</v>
      </c>
      <c r="P94" s="15" t="s">
        <v>622</v>
      </c>
      <c r="Q94" s="6" t="s">
        <v>730</v>
      </c>
      <c r="R94" s="6" t="s">
        <v>682</v>
      </c>
      <c r="S94" t="s">
        <v>274</v>
      </c>
      <c r="T94" s="6" t="s">
        <v>289</v>
      </c>
      <c r="U94" s="6" t="s">
        <v>772</v>
      </c>
      <c r="V94" s="6" t="s">
        <v>155</v>
      </c>
      <c r="W94" s="6"/>
      <c r="X94" s="6"/>
      <c r="Y94" s="6"/>
      <c r="Z94" s="6"/>
      <c r="AA94" s="6"/>
      <c r="AB94" s="6"/>
      <c r="AC94" s="6"/>
      <c r="AD94" s="6"/>
      <c r="AE94" s="6"/>
      <c r="AF94" s="6"/>
      <c r="AG94" s="1"/>
    </row>
    <row r="95" spans="2:33" x14ac:dyDescent="0.2">
      <c r="B95">
        <f>ID编号[id编号]*10000+ROW()-6</f>
        <v>1040089</v>
      </c>
      <c r="C95" s="2" t="s">
        <v>122</v>
      </c>
      <c r="D95">
        <v>4</v>
      </c>
      <c r="E95">
        <v>9</v>
      </c>
      <c r="F95">
        <v>0</v>
      </c>
      <c r="G95" s="14" t="s">
        <v>637</v>
      </c>
      <c r="H95" s="14" t="s">
        <v>622</v>
      </c>
      <c r="I95" s="14" t="s">
        <v>622</v>
      </c>
      <c r="J95" s="14" t="s">
        <v>622</v>
      </c>
      <c r="K95" s="14" t="s">
        <v>622</v>
      </c>
      <c r="L95" s="14" t="s">
        <v>622</v>
      </c>
      <c r="M95" s="14" t="s">
        <v>622</v>
      </c>
      <c r="N95" s="14" t="s">
        <v>622</v>
      </c>
      <c r="O95" s="14" t="s">
        <v>622</v>
      </c>
      <c r="P95" s="14" t="s">
        <v>622</v>
      </c>
      <c r="Q95" t="s">
        <v>765</v>
      </c>
      <c r="R95" t="s">
        <v>679</v>
      </c>
      <c r="S95" t="s">
        <v>764</v>
      </c>
      <c r="T95" t="s">
        <v>282</v>
      </c>
      <c r="U95" t="s">
        <v>789</v>
      </c>
      <c r="V95" t="s">
        <v>168</v>
      </c>
      <c r="Z95" s="1"/>
      <c r="AG95" s="1"/>
    </row>
    <row r="96" spans="2:33" x14ac:dyDescent="0.2">
      <c r="B96">
        <f>ID编号[id编号]*10000+ROW()-6</f>
        <v>1040090</v>
      </c>
      <c r="C96" s="3" t="s">
        <v>78</v>
      </c>
      <c r="D96">
        <v>5</v>
      </c>
      <c r="E96">
        <v>13</v>
      </c>
      <c r="G96" s="14" t="s">
        <v>622</v>
      </c>
      <c r="H96" s="14" t="s">
        <v>622</v>
      </c>
      <c r="I96" s="14" t="s">
        <v>622</v>
      </c>
      <c r="J96" s="14" t="s">
        <v>622</v>
      </c>
      <c r="K96" s="14" t="s">
        <v>642</v>
      </c>
      <c r="L96" s="14" t="s">
        <v>642</v>
      </c>
      <c r="M96" s="14" t="s">
        <v>622</v>
      </c>
      <c r="N96" s="14" t="s">
        <v>622</v>
      </c>
      <c r="O96" s="14" t="s">
        <v>635</v>
      </c>
      <c r="P96" s="14" t="s">
        <v>622</v>
      </c>
      <c r="Q96" t="s">
        <v>766</v>
      </c>
      <c r="R96" t="s">
        <v>698</v>
      </c>
      <c r="S96" t="s">
        <v>247</v>
      </c>
      <c r="T96" t="s">
        <v>824</v>
      </c>
      <c r="U96" t="s">
        <v>806</v>
      </c>
      <c r="V96" t="s">
        <v>186</v>
      </c>
      <c r="W96" t="s">
        <v>886</v>
      </c>
      <c r="X96" t="s">
        <v>885</v>
      </c>
      <c r="Y96" t="s">
        <v>187</v>
      </c>
      <c r="Z96" s="1"/>
      <c r="AG96" s="1" t="s">
        <v>353</v>
      </c>
    </row>
    <row r="97" spans="2:33" x14ac:dyDescent="0.2">
      <c r="B97">
        <f>ID编号[id编号]*10000+ROW()-6</f>
        <v>1040091</v>
      </c>
      <c r="C97" s="3" t="s">
        <v>96</v>
      </c>
      <c r="D97">
        <v>5</v>
      </c>
      <c r="E97">
        <v>1</v>
      </c>
      <c r="F97">
        <v>1</v>
      </c>
      <c r="G97" s="14" t="s">
        <v>622</v>
      </c>
      <c r="H97" s="14" t="s">
        <v>638</v>
      </c>
      <c r="I97" s="14" t="s">
        <v>622</v>
      </c>
      <c r="J97" s="14" t="s">
        <v>622</v>
      </c>
      <c r="K97" s="14" t="s">
        <v>622</v>
      </c>
      <c r="L97" s="14" t="s">
        <v>622</v>
      </c>
      <c r="M97" s="14" t="s">
        <v>622</v>
      </c>
      <c r="N97" s="14" t="s">
        <v>622</v>
      </c>
      <c r="O97" s="14" t="s">
        <v>622</v>
      </c>
      <c r="P97" s="14" t="s">
        <v>622</v>
      </c>
      <c r="Q97" t="s">
        <v>769</v>
      </c>
      <c r="R97" t="s">
        <v>680</v>
      </c>
      <c r="S97" t="s">
        <v>230</v>
      </c>
      <c r="T97" t="s">
        <v>290</v>
      </c>
      <c r="U97" t="s">
        <v>801</v>
      </c>
      <c r="V97" t="s">
        <v>231</v>
      </c>
      <c r="Z97" s="1"/>
      <c r="AG97" s="1" t="s">
        <v>217</v>
      </c>
    </row>
    <row r="98" spans="2:33" x14ac:dyDescent="0.2">
      <c r="B98">
        <f>ID编号[id编号]*10000+ROW()-6</f>
        <v>1040092</v>
      </c>
      <c r="C98" s="2" t="s">
        <v>100</v>
      </c>
      <c r="D98">
        <v>5</v>
      </c>
      <c r="E98">
        <v>10</v>
      </c>
      <c r="F98">
        <v>0</v>
      </c>
      <c r="G98" s="14" t="s">
        <v>638</v>
      </c>
      <c r="H98" s="14" t="s">
        <v>622</v>
      </c>
      <c r="I98" s="14" t="s">
        <v>622</v>
      </c>
      <c r="J98" s="14" t="s">
        <v>622</v>
      </c>
      <c r="K98" s="14" t="s">
        <v>622</v>
      </c>
      <c r="L98" s="14" t="s">
        <v>622</v>
      </c>
      <c r="M98" s="14" t="s">
        <v>622</v>
      </c>
      <c r="N98" s="14" t="s">
        <v>622</v>
      </c>
      <c r="O98" s="14" t="s">
        <v>622</v>
      </c>
      <c r="P98" s="14" t="s">
        <v>622</v>
      </c>
      <c r="Q98" t="s">
        <v>757</v>
      </c>
      <c r="R98" t="s">
        <v>707</v>
      </c>
      <c r="S98" t="s">
        <v>162</v>
      </c>
      <c r="T98" t="s">
        <v>826</v>
      </c>
      <c r="U98" t="s">
        <v>802</v>
      </c>
      <c r="V98" t="s">
        <v>181</v>
      </c>
      <c r="W98" s="6" t="s">
        <v>867</v>
      </c>
      <c r="X98" s="6" t="s">
        <v>868</v>
      </c>
      <c r="Y98" s="6" t="s">
        <v>183</v>
      </c>
      <c r="Z98" s="1"/>
      <c r="AG98" s="1" t="s">
        <v>205</v>
      </c>
    </row>
    <row r="99" spans="2:33" x14ac:dyDescent="0.2">
      <c r="B99">
        <f>ID编号[id编号]*10000+ROW()-6</f>
        <v>1040093</v>
      </c>
      <c r="C99" s="2" t="s">
        <v>109</v>
      </c>
      <c r="D99">
        <v>5</v>
      </c>
      <c r="E99">
        <v>3</v>
      </c>
      <c r="F99">
        <v>0</v>
      </c>
      <c r="G99" s="14" t="s">
        <v>648</v>
      </c>
      <c r="H99" s="14" t="s">
        <v>622</v>
      </c>
      <c r="I99" s="14" t="s">
        <v>622</v>
      </c>
      <c r="J99" s="14" t="s">
        <v>622</v>
      </c>
      <c r="K99" s="14" t="s">
        <v>622</v>
      </c>
      <c r="L99" s="14" t="s">
        <v>622</v>
      </c>
      <c r="M99" s="14" t="s">
        <v>622</v>
      </c>
      <c r="N99" s="14" t="s">
        <v>622</v>
      </c>
      <c r="O99" s="14" t="s">
        <v>622</v>
      </c>
      <c r="P99" s="14" t="s">
        <v>622</v>
      </c>
      <c r="R99" t="s">
        <v>677</v>
      </c>
      <c r="S99" t="s">
        <v>888</v>
      </c>
      <c r="T99" t="s">
        <v>827</v>
      </c>
      <c r="U99" t="s">
        <v>803</v>
      </c>
      <c r="V99" t="s">
        <v>184</v>
      </c>
      <c r="W99" t="s">
        <v>293</v>
      </c>
      <c r="X99" t="s">
        <v>869</v>
      </c>
      <c r="Y99" t="s">
        <v>185</v>
      </c>
      <c r="Z99" s="1"/>
      <c r="AG99" s="1" t="s">
        <v>354</v>
      </c>
    </row>
    <row r="100" spans="2:33" x14ac:dyDescent="0.2">
      <c r="B100">
        <f>ID编号[id编号]*10000+ROW()-6</f>
        <v>1040094</v>
      </c>
      <c r="C100" s="2" t="s">
        <v>113</v>
      </c>
      <c r="D100">
        <v>5</v>
      </c>
      <c r="E100">
        <v>11</v>
      </c>
      <c r="F100">
        <v>1</v>
      </c>
      <c r="G100" s="14" t="s">
        <v>622</v>
      </c>
      <c r="H100" s="14" t="s">
        <v>651</v>
      </c>
      <c r="I100" s="14" t="s">
        <v>622</v>
      </c>
      <c r="J100" s="14" t="s">
        <v>622</v>
      </c>
      <c r="K100" s="14" t="s">
        <v>622</v>
      </c>
      <c r="L100" s="14" t="s">
        <v>622</v>
      </c>
      <c r="M100" s="14" t="s">
        <v>622</v>
      </c>
      <c r="N100" s="14" t="s">
        <v>622</v>
      </c>
      <c r="O100" s="14" t="s">
        <v>622</v>
      </c>
      <c r="P100" s="14" t="s">
        <v>622</v>
      </c>
      <c r="Q100" t="s">
        <v>746</v>
      </c>
      <c r="R100" t="s">
        <v>713</v>
      </c>
      <c r="S100" t="s">
        <v>278</v>
      </c>
      <c r="T100" t="s">
        <v>291</v>
      </c>
      <c r="U100" t="s">
        <v>804</v>
      </c>
      <c r="V100" t="s">
        <v>233</v>
      </c>
      <c r="W100" t="s">
        <v>870</v>
      </c>
      <c r="X100" t="s">
        <v>871</v>
      </c>
      <c r="Y100" t="s">
        <v>234</v>
      </c>
      <c r="Z100" s="1"/>
      <c r="AG100" s="1" t="s">
        <v>355</v>
      </c>
    </row>
    <row r="101" spans="2:33" x14ac:dyDescent="0.2">
      <c r="B101">
        <f>ID编号[id编号]*10000+ROW()-6</f>
        <v>1040095</v>
      </c>
      <c r="C101" s="2" t="s">
        <v>123</v>
      </c>
      <c r="D101">
        <v>5</v>
      </c>
      <c r="E101">
        <v>1</v>
      </c>
      <c r="F101">
        <v>1</v>
      </c>
      <c r="G101" s="14" t="s">
        <v>622</v>
      </c>
      <c r="H101" s="14" t="s">
        <v>638</v>
      </c>
      <c r="I101" s="14" t="s">
        <v>622</v>
      </c>
      <c r="J101" s="14" t="s">
        <v>622</v>
      </c>
      <c r="K101" s="14" t="s">
        <v>622</v>
      </c>
      <c r="L101" s="14" t="s">
        <v>622</v>
      </c>
      <c r="M101" s="14" t="s">
        <v>622</v>
      </c>
      <c r="N101" s="14" t="s">
        <v>622</v>
      </c>
      <c r="O101" s="14" t="s">
        <v>622</v>
      </c>
      <c r="P101" s="14" t="s">
        <v>622</v>
      </c>
      <c r="Q101" t="s">
        <v>760</v>
      </c>
      <c r="R101" t="s">
        <v>680</v>
      </c>
      <c r="S101" t="s">
        <v>235</v>
      </c>
      <c r="T101" t="s">
        <v>292</v>
      </c>
      <c r="U101" t="s">
        <v>805</v>
      </c>
      <c r="V101" t="s">
        <v>188</v>
      </c>
      <c r="W101" t="s">
        <v>872</v>
      </c>
      <c r="X101" t="s">
        <v>873</v>
      </c>
      <c r="Y101" t="s">
        <v>172</v>
      </c>
      <c r="Z101" s="1"/>
      <c r="AG101" s="1" t="s">
        <v>206</v>
      </c>
    </row>
    <row r="102" spans="2:33" x14ac:dyDescent="0.2">
      <c r="B102">
        <f>ID编号[id编号]*10000+ROW()-6</f>
        <v>1040096</v>
      </c>
      <c r="C102" s="2" t="s">
        <v>125</v>
      </c>
      <c r="D102">
        <v>5</v>
      </c>
      <c r="E102">
        <v>9</v>
      </c>
      <c r="F102">
        <v>0</v>
      </c>
      <c r="G102" s="14" t="s">
        <v>638</v>
      </c>
      <c r="H102" s="14" t="s">
        <v>622</v>
      </c>
      <c r="I102" s="14" t="s">
        <v>622</v>
      </c>
      <c r="J102" s="14" t="s">
        <v>622</v>
      </c>
      <c r="K102" s="14" t="s">
        <v>622</v>
      </c>
      <c r="L102" s="14" t="s">
        <v>622</v>
      </c>
      <c r="M102" s="14" t="s">
        <v>622</v>
      </c>
      <c r="N102" s="14" t="s">
        <v>622</v>
      </c>
      <c r="O102" s="14" t="s">
        <v>622</v>
      </c>
      <c r="P102" s="14" t="s">
        <v>622</v>
      </c>
      <c r="Q102" t="s">
        <v>757</v>
      </c>
      <c r="R102" t="s">
        <v>707</v>
      </c>
      <c r="S102" t="s">
        <v>162</v>
      </c>
      <c r="T102" t="s">
        <v>821</v>
      </c>
      <c r="U102" t="s">
        <v>798</v>
      </c>
      <c r="V102" t="s">
        <v>199</v>
      </c>
      <c r="W102" t="s">
        <v>874</v>
      </c>
      <c r="X102" t="s">
        <v>875</v>
      </c>
      <c r="Y102" t="s">
        <v>200</v>
      </c>
      <c r="Z102" s="1"/>
      <c r="AG102" s="1" t="s">
        <v>300</v>
      </c>
    </row>
    <row r="103" spans="2:33" x14ac:dyDescent="0.2">
      <c r="B103">
        <f>ID编号[id编号]*10000+ROW()-6</f>
        <v>1040097</v>
      </c>
      <c r="C103" s="2" t="s">
        <v>127</v>
      </c>
      <c r="D103">
        <v>5</v>
      </c>
      <c r="E103">
        <v>11</v>
      </c>
      <c r="F103">
        <v>1</v>
      </c>
      <c r="G103" s="14" t="s">
        <v>622</v>
      </c>
      <c r="H103" s="14" t="s">
        <v>638</v>
      </c>
      <c r="I103" s="14" t="s">
        <v>622</v>
      </c>
      <c r="J103" s="14" t="s">
        <v>622</v>
      </c>
      <c r="K103" s="14" t="s">
        <v>622</v>
      </c>
      <c r="L103" s="14" t="s">
        <v>622</v>
      </c>
      <c r="M103" s="14" t="s">
        <v>622</v>
      </c>
      <c r="N103" s="14" t="s">
        <v>622</v>
      </c>
      <c r="O103" s="14" t="s">
        <v>622</v>
      </c>
      <c r="P103" s="14" t="s">
        <v>622</v>
      </c>
      <c r="Q103" t="s">
        <v>756</v>
      </c>
      <c r="R103" t="s">
        <v>699</v>
      </c>
      <c r="S103" t="s">
        <v>171</v>
      </c>
      <c r="T103" t="s">
        <v>823</v>
      </c>
      <c r="U103" t="s">
        <v>799</v>
      </c>
      <c r="V103" t="s">
        <v>170</v>
      </c>
      <c r="W103" t="s">
        <v>294</v>
      </c>
      <c r="X103" t="s">
        <v>876</v>
      </c>
      <c r="Y103" t="s">
        <v>236</v>
      </c>
      <c r="Z103" s="1"/>
      <c r="AG103" s="1" t="s">
        <v>301</v>
      </c>
    </row>
    <row r="104" spans="2:33" s="8" customFormat="1" x14ac:dyDescent="0.2">
      <c r="B104">
        <f>ID编号[id编号]*10000+ROW()-6</f>
        <v>1040098</v>
      </c>
      <c r="C104" s="2" t="s">
        <v>129</v>
      </c>
      <c r="D104">
        <v>5</v>
      </c>
      <c r="E104">
        <v>16</v>
      </c>
      <c r="F104"/>
      <c r="G104" s="14" t="s">
        <v>622</v>
      </c>
      <c r="H104" s="14" t="s">
        <v>622</v>
      </c>
      <c r="I104" s="14" t="s">
        <v>622</v>
      </c>
      <c r="J104" s="14" t="s">
        <v>622</v>
      </c>
      <c r="K104" s="14" t="s">
        <v>622</v>
      </c>
      <c r="L104" s="14" t="s">
        <v>622</v>
      </c>
      <c r="M104" s="14" t="s">
        <v>622</v>
      </c>
      <c r="N104" s="14" t="s">
        <v>622</v>
      </c>
      <c r="O104" s="14" t="s">
        <v>652</v>
      </c>
      <c r="P104" s="14" t="s">
        <v>635</v>
      </c>
      <c r="Q104" t="s">
        <v>770</v>
      </c>
      <c r="R104" t="s">
        <v>682</v>
      </c>
      <c r="S104" t="s">
        <v>197</v>
      </c>
      <c r="T104" t="s">
        <v>287</v>
      </c>
      <c r="U104" t="s">
        <v>800</v>
      </c>
      <c r="V104" t="s">
        <v>204</v>
      </c>
      <c r="W104" t="s">
        <v>877</v>
      </c>
      <c r="X104" t="s">
        <v>878</v>
      </c>
      <c r="Y104" t="s">
        <v>198</v>
      </c>
      <c r="Z104"/>
      <c r="AA104"/>
      <c r="AB104"/>
      <c r="AC104"/>
      <c r="AD104"/>
      <c r="AE104"/>
      <c r="AF104"/>
      <c r="AG104" s="1"/>
    </row>
    <row r="105" spans="2:33" x14ac:dyDescent="0.2">
      <c r="B105">
        <f>ID编号[id编号]*10000+ROW()-6</f>
        <v>1040099</v>
      </c>
      <c r="C105" s="2" t="s">
        <v>131</v>
      </c>
      <c r="D105">
        <v>5</v>
      </c>
      <c r="E105">
        <v>3</v>
      </c>
      <c r="F105">
        <v>0</v>
      </c>
      <c r="G105" s="14" t="s">
        <v>638</v>
      </c>
      <c r="H105" s="14" t="s">
        <v>622</v>
      </c>
      <c r="I105" s="14" t="s">
        <v>622</v>
      </c>
      <c r="J105" s="14" t="s">
        <v>622</v>
      </c>
      <c r="K105" s="14" t="s">
        <v>622</v>
      </c>
      <c r="L105" s="14" t="s">
        <v>622</v>
      </c>
      <c r="M105" s="14" t="s">
        <v>622</v>
      </c>
      <c r="N105" s="14" t="s">
        <v>622</v>
      </c>
      <c r="O105" s="14" t="s">
        <v>622</v>
      </c>
      <c r="P105" s="14" t="s">
        <v>622</v>
      </c>
      <c r="Q105" t="s">
        <v>757</v>
      </c>
      <c r="R105" t="s">
        <v>707</v>
      </c>
      <c r="S105" t="s">
        <v>162</v>
      </c>
      <c r="T105" t="s">
        <v>288</v>
      </c>
      <c r="U105" t="s">
        <v>779</v>
      </c>
      <c r="V105" t="s">
        <v>195</v>
      </c>
      <c r="W105" t="s">
        <v>887</v>
      </c>
      <c r="X105" t="s">
        <v>879</v>
      </c>
      <c r="Y105" t="s">
        <v>196</v>
      </c>
      <c r="AG105" s="1" t="s">
        <v>356</v>
      </c>
    </row>
    <row r="106" spans="2:33" x14ac:dyDescent="0.2">
      <c r="B106">
        <f>ID编号[id编号]*10000+ROW()-6</f>
        <v>1040100</v>
      </c>
      <c r="C106" s="2" t="s">
        <v>133</v>
      </c>
      <c r="D106">
        <v>5</v>
      </c>
      <c r="E106">
        <v>13</v>
      </c>
      <c r="G106" s="14" t="s">
        <v>622</v>
      </c>
      <c r="H106" s="14" t="s">
        <v>622</v>
      </c>
      <c r="I106" s="14" t="s">
        <v>622</v>
      </c>
      <c r="J106" s="14" t="s">
        <v>622</v>
      </c>
      <c r="K106" s="14" t="s">
        <v>653</v>
      </c>
      <c r="L106" s="14" t="s">
        <v>653</v>
      </c>
      <c r="M106" s="14" t="s">
        <v>622</v>
      </c>
      <c r="N106" s="14" t="s">
        <v>622</v>
      </c>
      <c r="O106" s="14" t="s">
        <v>632</v>
      </c>
      <c r="P106" s="14" t="s">
        <v>622</v>
      </c>
      <c r="Q106" t="s">
        <v>771</v>
      </c>
      <c r="R106" t="s">
        <v>714</v>
      </c>
      <c r="S106" t="s">
        <v>275</v>
      </c>
      <c r="T106" t="s">
        <v>829</v>
      </c>
      <c r="U106" t="s">
        <v>777</v>
      </c>
      <c r="V106" t="s">
        <v>193</v>
      </c>
      <c r="W106" t="s">
        <v>295</v>
      </c>
      <c r="X106" t="s">
        <v>880</v>
      </c>
      <c r="Y106" t="s">
        <v>194</v>
      </c>
      <c r="AG106" s="1"/>
    </row>
    <row r="107" spans="2:33" s="6" customFormat="1" x14ac:dyDescent="0.2">
      <c r="B107">
        <f>ID编号[id编号]*10000+ROW()-6</f>
        <v>1040101</v>
      </c>
      <c r="C107" s="2" t="s">
        <v>135</v>
      </c>
      <c r="D107">
        <v>5</v>
      </c>
      <c r="E107">
        <v>14</v>
      </c>
      <c r="F107"/>
      <c r="G107" s="14" t="s">
        <v>622</v>
      </c>
      <c r="H107" s="14" t="s">
        <v>622</v>
      </c>
      <c r="I107" s="14" t="s">
        <v>654</v>
      </c>
      <c r="J107" s="14" t="s">
        <v>650</v>
      </c>
      <c r="K107" s="14" t="s">
        <v>622</v>
      </c>
      <c r="L107" s="14" t="s">
        <v>622</v>
      </c>
      <c r="M107" s="14" t="s">
        <v>655</v>
      </c>
      <c r="N107" s="14" t="s">
        <v>641</v>
      </c>
      <c r="O107" s="14" t="s">
        <v>622</v>
      </c>
      <c r="P107" s="14" t="s">
        <v>622</v>
      </c>
      <c r="Q107" t="s">
        <v>768</v>
      </c>
      <c r="R107" t="s">
        <v>682</v>
      </c>
      <c r="S107" t="s">
        <v>276</v>
      </c>
      <c r="T107" t="s">
        <v>807</v>
      </c>
      <c r="U107" t="s">
        <v>775</v>
      </c>
      <c r="V107" t="s">
        <v>191</v>
      </c>
      <c r="W107" t="s">
        <v>881</v>
      </c>
      <c r="X107" t="s">
        <v>882</v>
      </c>
      <c r="Y107" t="s">
        <v>192</v>
      </c>
      <c r="Z107"/>
      <c r="AA107"/>
      <c r="AB107"/>
      <c r="AC107"/>
      <c r="AD107"/>
      <c r="AE107"/>
      <c r="AF107"/>
      <c r="AG107" s="1"/>
    </row>
    <row r="108" spans="2:33" s="6" customFormat="1" x14ac:dyDescent="0.2">
      <c r="B108">
        <f>ID编号[id编号]*10000+ROW()-6</f>
        <v>1040102</v>
      </c>
      <c r="C108" s="2" t="s">
        <v>136</v>
      </c>
      <c r="D108">
        <v>5</v>
      </c>
      <c r="E108">
        <v>15</v>
      </c>
      <c r="F108"/>
      <c r="G108" s="14" t="s">
        <v>622</v>
      </c>
      <c r="H108" s="14" t="s">
        <v>622</v>
      </c>
      <c r="I108" s="14" t="s">
        <v>650</v>
      </c>
      <c r="J108" s="14" t="s">
        <v>656</v>
      </c>
      <c r="K108" s="14" t="s">
        <v>622</v>
      </c>
      <c r="L108" s="14" t="s">
        <v>622</v>
      </c>
      <c r="M108" s="14" t="s">
        <v>641</v>
      </c>
      <c r="N108" s="14" t="s">
        <v>641</v>
      </c>
      <c r="O108" s="14" t="s">
        <v>622</v>
      </c>
      <c r="P108" s="14" t="s">
        <v>622</v>
      </c>
      <c r="Q108" t="s">
        <v>767</v>
      </c>
      <c r="R108" t="s">
        <v>682</v>
      </c>
      <c r="S108" t="s">
        <v>277</v>
      </c>
      <c r="T108" t="s">
        <v>830</v>
      </c>
      <c r="U108" t="s">
        <v>773</v>
      </c>
      <c r="V108" t="s">
        <v>189</v>
      </c>
      <c r="W108" t="s">
        <v>883</v>
      </c>
      <c r="X108" t="s">
        <v>884</v>
      </c>
      <c r="Y108" t="s">
        <v>190</v>
      </c>
      <c r="Z108"/>
      <c r="AA108"/>
      <c r="AB108"/>
      <c r="AC108"/>
      <c r="AD108"/>
      <c r="AE108"/>
      <c r="AF108"/>
      <c r="AG108" s="1"/>
    </row>
    <row r="109" spans="2:33" x14ac:dyDescent="0.2">
      <c r="B109">
        <f>ID编号[id编号]*10000+ROW()-6</f>
        <v>1040103</v>
      </c>
      <c r="C109" s="1" t="s">
        <v>585</v>
      </c>
      <c r="D109">
        <v>2</v>
      </c>
      <c r="E109">
        <v>0</v>
      </c>
      <c r="F109">
        <v>0</v>
      </c>
      <c r="G109" s="14" t="s">
        <v>628</v>
      </c>
      <c r="H109" s="14" t="s">
        <v>622</v>
      </c>
      <c r="I109" s="14" t="s">
        <v>622</v>
      </c>
      <c r="J109" s="14" t="s">
        <v>622</v>
      </c>
      <c r="K109" s="14" t="s">
        <v>622</v>
      </c>
      <c r="L109" s="14" t="s">
        <v>622</v>
      </c>
      <c r="M109" s="14" t="s">
        <v>622</v>
      </c>
      <c r="N109" s="14" t="s">
        <v>622</v>
      </c>
      <c r="O109" s="14" t="s">
        <v>622</v>
      </c>
      <c r="P109" s="14" t="s">
        <v>622</v>
      </c>
      <c r="Q109" t="s">
        <v>701</v>
      </c>
      <c r="R109" t="s">
        <v>1038</v>
      </c>
      <c r="S109" t="s">
        <v>409</v>
      </c>
      <c r="AG109" s="1" t="s">
        <v>374</v>
      </c>
    </row>
    <row r="110" spans="2:33" x14ac:dyDescent="0.2">
      <c r="B110">
        <f>ID编号[id编号]*10000+ROW()-6</f>
        <v>1040104</v>
      </c>
      <c r="C110" s="1" t="s">
        <v>587</v>
      </c>
      <c r="D110">
        <v>2</v>
      </c>
      <c r="E110">
        <v>1</v>
      </c>
      <c r="F110">
        <v>1</v>
      </c>
      <c r="G110" s="14" t="s">
        <v>622</v>
      </c>
      <c r="H110" s="14" t="s">
        <v>628</v>
      </c>
      <c r="I110" s="14" t="s">
        <v>622</v>
      </c>
      <c r="J110" s="14" t="s">
        <v>622</v>
      </c>
      <c r="K110" s="14" t="s">
        <v>622</v>
      </c>
      <c r="L110" s="14" t="s">
        <v>622</v>
      </c>
      <c r="M110" s="14" t="s">
        <v>622</v>
      </c>
      <c r="N110" s="14" t="s">
        <v>622</v>
      </c>
      <c r="O110" s="14" t="s">
        <v>622</v>
      </c>
      <c r="P110" s="14" t="s">
        <v>622</v>
      </c>
      <c r="Q110" t="s">
        <v>1042</v>
      </c>
      <c r="R110" t="s">
        <v>1043</v>
      </c>
      <c r="S110" t="s">
        <v>407</v>
      </c>
      <c r="AG110" s="1" t="s">
        <v>375</v>
      </c>
    </row>
    <row r="111" spans="2:33" x14ac:dyDescent="0.2">
      <c r="B111">
        <f>ID编号[id编号]*10000+ROW()-6</f>
        <v>1040105</v>
      </c>
      <c r="C111" s="1" t="s">
        <v>589</v>
      </c>
      <c r="D111">
        <v>2</v>
      </c>
      <c r="E111">
        <v>11</v>
      </c>
      <c r="F111">
        <v>1</v>
      </c>
      <c r="G111" s="14" t="s">
        <v>622</v>
      </c>
      <c r="H111" s="14" t="s">
        <v>628</v>
      </c>
      <c r="I111" s="14" t="s">
        <v>622</v>
      </c>
      <c r="J111" s="14" t="s">
        <v>622</v>
      </c>
      <c r="K111" s="14" t="s">
        <v>622</v>
      </c>
      <c r="L111" s="14" t="s">
        <v>622</v>
      </c>
      <c r="M111" s="14" t="s">
        <v>622</v>
      </c>
      <c r="N111" s="14" t="s">
        <v>622</v>
      </c>
      <c r="O111" s="14" t="s">
        <v>622</v>
      </c>
      <c r="P111" s="14" t="s">
        <v>622</v>
      </c>
      <c r="Q111" t="s">
        <v>1042</v>
      </c>
      <c r="R111" t="s">
        <v>1043</v>
      </c>
      <c r="S111" t="s">
        <v>407</v>
      </c>
      <c r="AG111" s="1" t="s">
        <v>376</v>
      </c>
    </row>
    <row r="112" spans="2:33" x14ac:dyDescent="0.2">
      <c r="B112">
        <f>ID编号[id编号]*10000+ROW()-6</f>
        <v>1040106</v>
      </c>
      <c r="C112" s="1" t="s">
        <v>591</v>
      </c>
      <c r="D112">
        <v>2</v>
      </c>
      <c r="E112">
        <v>8</v>
      </c>
      <c r="F112">
        <v>0</v>
      </c>
      <c r="G112" s="14" t="s">
        <v>628</v>
      </c>
      <c r="H112" s="14" t="s">
        <v>622</v>
      </c>
      <c r="I112" s="14" t="s">
        <v>622</v>
      </c>
      <c r="J112" s="14" t="s">
        <v>622</v>
      </c>
      <c r="K112" s="14" t="s">
        <v>622</v>
      </c>
      <c r="L112" s="14" t="s">
        <v>622</v>
      </c>
      <c r="M112" s="14" t="s">
        <v>622</v>
      </c>
      <c r="N112" s="14" t="s">
        <v>622</v>
      </c>
      <c r="O112" s="14" t="s">
        <v>622</v>
      </c>
      <c r="P112" s="14" t="s">
        <v>622</v>
      </c>
      <c r="Q112" t="s">
        <v>701</v>
      </c>
      <c r="R112" t="s">
        <v>699</v>
      </c>
      <c r="S112" t="s">
        <v>409</v>
      </c>
      <c r="AG112" s="1" t="s">
        <v>377</v>
      </c>
    </row>
    <row r="113" spans="2:33" x14ac:dyDescent="0.2">
      <c r="B113">
        <f>ID编号[id编号]*10000+ROW()-6</f>
        <v>1040107</v>
      </c>
      <c r="C113" s="1" t="s">
        <v>358</v>
      </c>
      <c r="D113">
        <v>2</v>
      </c>
      <c r="E113">
        <v>13</v>
      </c>
      <c r="G113" s="14" t="s">
        <v>622</v>
      </c>
      <c r="H113" s="14" t="s">
        <v>622</v>
      </c>
      <c r="I113" s="14" t="s">
        <v>622</v>
      </c>
      <c r="J113" s="14" t="s">
        <v>622</v>
      </c>
      <c r="K113" s="14" t="s">
        <v>657</v>
      </c>
      <c r="L113" s="14" t="s">
        <v>657</v>
      </c>
      <c r="M113" s="14" t="s">
        <v>622</v>
      </c>
      <c r="N113" s="14" t="s">
        <v>622</v>
      </c>
      <c r="O113" s="14" t="s">
        <v>658</v>
      </c>
      <c r="P113" s="14" t="s">
        <v>622</v>
      </c>
      <c r="Q113" t="s">
        <v>701</v>
      </c>
      <c r="R113" t="s">
        <v>699</v>
      </c>
      <c r="S113" t="s">
        <v>409</v>
      </c>
      <c r="AG113" s="1" t="s">
        <v>378</v>
      </c>
    </row>
    <row r="114" spans="2:33" x14ac:dyDescent="0.2">
      <c r="B114">
        <f>ID编号[id编号]*10000+ROW()-6</f>
        <v>1040108</v>
      </c>
      <c r="C114" s="1" t="s">
        <v>359</v>
      </c>
      <c r="D114">
        <v>2</v>
      </c>
      <c r="E114">
        <v>14</v>
      </c>
      <c r="G114" s="14" t="s">
        <v>622</v>
      </c>
      <c r="H114" s="14" t="s">
        <v>622</v>
      </c>
      <c r="I114" s="14" t="s">
        <v>639</v>
      </c>
      <c r="J114" s="14" t="s">
        <v>639</v>
      </c>
      <c r="K114" s="14" t="s">
        <v>622</v>
      </c>
      <c r="L114" s="14" t="s">
        <v>622</v>
      </c>
      <c r="M114" s="14" t="s">
        <v>659</v>
      </c>
      <c r="N114" s="14" t="s">
        <v>659</v>
      </c>
      <c r="O114" s="14" t="s">
        <v>622</v>
      </c>
      <c r="P114" s="14" t="s">
        <v>622</v>
      </c>
      <c r="Q114" t="s">
        <v>701</v>
      </c>
      <c r="R114" t="s">
        <v>699</v>
      </c>
      <c r="S114" t="s">
        <v>408</v>
      </c>
      <c r="AG114" s="1" t="s">
        <v>378</v>
      </c>
    </row>
    <row r="115" spans="2:33" x14ac:dyDescent="0.2">
      <c r="B115">
        <f>ID编号[id编号]*10000+ROW()-6</f>
        <v>1040109</v>
      </c>
      <c r="C115" s="1" t="s">
        <v>360</v>
      </c>
      <c r="D115">
        <v>2</v>
      </c>
      <c r="E115">
        <v>15</v>
      </c>
      <c r="G115" s="14" t="s">
        <v>622</v>
      </c>
      <c r="H115" s="14" t="s">
        <v>622</v>
      </c>
      <c r="I115" s="19" t="s">
        <v>639</v>
      </c>
      <c r="J115" s="19" t="s">
        <v>639</v>
      </c>
      <c r="K115" s="19" t="s">
        <v>622</v>
      </c>
      <c r="L115" s="19" t="s">
        <v>622</v>
      </c>
      <c r="M115" s="19" t="s">
        <v>659</v>
      </c>
      <c r="N115" s="19" t="s">
        <v>659</v>
      </c>
      <c r="O115" s="14" t="s">
        <v>622</v>
      </c>
      <c r="P115" s="14" t="s">
        <v>622</v>
      </c>
      <c r="Q115" t="s">
        <v>701</v>
      </c>
      <c r="R115" t="s">
        <v>699</v>
      </c>
      <c r="S115" t="s">
        <v>408</v>
      </c>
      <c r="AG115" s="1" t="s">
        <v>378</v>
      </c>
    </row>
    <row r="116" spans="2:33" x14ac:dyDescent="0.2">
      <c r="B116">
        <f>ID编号[id编号]*10000+ROW()-6</f>
        <v>1040110</v>
      </c>
      <c r="C116" s="1" t="s">
        <v>361</v>
      </c>
      <c r="D116">
        <v>2</v>
      </c>
      <c r="E116">
        <v>16</v>
      </c>
      <c r="G116" s="14" t="s">
        <v>622</v>
      </c>
      <c r="H116" s="14" t="s">
        <v>622</v>
      </c>
      <c r="I116" s="14" t="s">
        <v>622</v>
      </c>
      <c r="J116" s="14" t="s">
        <v>622</v>
      </c>
      <c r="K116" s="14" t="s">
        <v>622</v>
      </c>
      <c r="L116" s="14" t="s">
        <v>622</v>
      </c>
      <c r="M116" s="14" t="s">
        <v>622</v>
      </c>
      <c r="N116" s="14" t="s">
        <v>622</v>
      </c>
      <c r="O116" s="14" t="s">
        <v>658</v>
      </c>
      <c r="P116" s="14" t="s">
        <v>639</v>
      </c>
      <c r="Q116" t="s">
        <v>701</v>
      </c>
      <c r="R116" t="s">
        <v>699</v>
      </c>
      <c r="S116" t="s">
        <v>408</v>
      </c>
      <c r="AG116" s="1" t="s">
        <v>378</v>
      </c>
    </row>
    <row r="117" spans="2:33" x14ac:dyDescent="0.2">
      <c r="B117">
        <f>ID编号[id编号]*10000+ROW()-6</f>
        <v>1040111</v>
      </c>
      <c r="C117" s="1" t="s">
        <v>748</v>
      </c>
      <c r="D117">
        <v>3</v>
      </c>
      <c r="E117">
        <v>0</v>
      </c>
      <c r="F117">
        <v>0</v>
      </c>
      <c r="G117" s="14" t="s">
        <v>660</v>
      </c>
      <c r="H117" s="14" t="s">
        <v>622</v>
      </c>
      <c r="I117" s="14" t="s">
        <v>622</v>
      </c>
      <c r="J117" s="14" t="s">
        <v>622</v>
      </c>
      <c r="K117" s="14" t="s">
        <v>622</v>
      </c>
      <c r="L117" s="14" t="s">
        <v>622</v>
      </c>
      <c r="M117" s="14" t="s">
        <v>622</v>
      </c>
      <c r="N117" s="14" t="s">
        <v>622</v>
      </c>
      <c r="O117" s="14" t="s">
        <v>622</v>
      </c>
      <c r="P117" s="14" t="s">
        <v>622</v>
      </c>
      <c r="Q117" t="s">
        <v>1042</v>
      </c>
      <c r="R117" t="s">
        <v>1043</v>
      </c>
      <c r="S117" t="s">
        <v>407</v>
      </c>
      <c r="AG117" s="1" t="s">
        <v>379</v>
      </c>
    </row>
    <row r="118" spans="2:33" x14ac:dyDescent="0.2">
      <c r="B118">
        <f>ID编号[id编号]*10000+ROW()-6</f>
        <v>1040112</v>
      </c>
      <c r="C118" s="1" t="s">
        <v>593</v>
      </c>
      <c r="D118">
        <v>3</v>
      </c>
      <c r="E118">
        <v>1</v>
      </c>
      <c r="F118">
        <v>1</v>
      </c>
      <c r="G118" s="14" t="s">
        <v>622</v>
      </c>
      <c r="H118" s="14" t="s">
        <v>660</v>
      </c>
      <c r="I118" s="14" t="s">
        <v>622</v>
      </c>
      <c r="J118" s="14" t="s">
        <v>622</v>
      </c>
      <c r="K118" s="14" t="s">
        <v>622</v>
      </c>
      <c r="L118" s="14" t="s">
        <v>622</v>
      </c>
      <c r="M118" s="14" t="s">
        <v>622</v>
      </c>
      <c r="N118" s="14" t="s">
        <v>622</v>
      </c>
      <c r="O118" s="14" t="s">
        <v>622</v>
      </c>
      <c r="P118" s="14" t="s">
        <v>622</v>
      </c>
      <c r="Q118" t="s">
        <v>1042</v>
      </c>
      <c r="R118" t="s">
        <v>1043</v>
      </c>
      <c r="S118" t="s">
        <v>407</v>
      </c>
      <c r="AG118" s="1" t="s">
        <v>380</v>
      </c>
    </row>
    <row r="119" spans="2:33" x14ac:dyDescent="0.2">
      <c r="B119">
        <f>ID编号[id编号]*10000+ROW()-6</f>
        <v>1040113</v>
      </c>
      <c r="C119" s="1" t="s">
        <v>595</v>
      </c>
      <c r="D119">
        <v>3</v>
      </c>
      <c r="E119">
        <v>11</v>
      </c>
      <c r="F119">
        <v>1</v>
      </c>
      <c r="G119" s="14" t="s">
        <v>622</v>
      </c>
      <c r="H119" s="14" t="s">
        <v>660</v>
      </c>
      <c r="I119" s="14" t="s">
        <v>622</v>
      </c>
      <c r="J119" s="14" t="s">
        <v>622</v>
      </c>
      <c r="K119" s="14" t="s">
        <v>622</v>
      </c>
      <c r="L119" s="14" t="s">
        <v>622</v>
      </c>
      <c r="M119" s="14" t="s">
        <v>622</v>
      </c>
      <c r="N119" s="14" t="s">
        <v>622</v>
      </c>
      <c r="O119" s="14" t="s">
        <v>622</v>
      </c>
      <c r="P119" s="14" t="s">
        <v>622</v>
      </c>
      <c r="Q119" t="s">
        <v>1039</v>
      </c>
      <c r="R119" t="s">
        <v>699</v>
      </c>
      <c r="S119" t="s">
        <v>410</v>
      </c>
      <c r="AG119" s="1" t="s">
        <v>381</v>
      </c>
    </row>
    <row r="120" spans="2:33" x14ac:dyDescent="0.2">
      <c r="B120">
        <f>ID编号[id编号]*10000+ROW()-6</f>
        <v>1040114</v>
      </c>
      <c r="C120" s="1" t="s">
        <v>597</v>
      </c>
      <c r="D120">
        <v>3</v>
      </c>
      <c r="E120">
        <v>8</v>
      </c>
      <c r="G120" s="14" t="s">
        <v>622</v>
      </c>
      <c r="H120" s="14" t="s">
        <v>622</v>
      </c>
      <c r="I120" s="14" t="s">
        <v>622</v>
      </c>
      <c r="J120" s="14" t="s">
        <v>622</v>
      </c>
      <c r="K120" s="14" t="s">
        <v>622</v>
      </c>
      <c r="L120" s="14" t="s">
        <v>622</v>
      </c>
      <c r="M120" s="14" t="s">
        <v>622</v>
      </c>
      <c r="N120" s="14" t="s">
        <v>622</v>
      </c>
      <c r="O120" s="14" t="s">
        <v>622</v>
      </c>
      <c r="P120" s="14" t="s">
        <v>622</v>
      </c>
      <c r="Q120" t="s">
        <v>1039</v>
      </c>
      <c r="R120" t="s">
        <v>699</v>
      </c>
      <c r="S120" t="s">
        <v>410</v>
      </c>
      <c r="AG120" s="1" t="s">
        <v>382</v>
      </c>
    </row>
    <row r="121" spans="2:33" x14ac:dyDescent="0.2">
      <c r="B121">
        <f>ID编号[id编号]*10000+ROW()-6</f>
        <v>1040115</v>
      </c>
      <c r="C121" s="1" t="s">
        <v>362</v>
      </c>
      <c r="D121">
        <v>3</v>
      </c>
      <c r="E121">
        <v>13</v>
      </c>
      <c r="G121" s="14" t="s">
        <v>622</v>
      </c>
      <c r="H121" s="14" t="s">
        <v>622</v>
      </c>
      <c r="I121" s="14" t="s">
        <v>622</v>
      </c>
      <c r="J121" s="14" t="s">
        <v>622</v>
      </c>
      <c r="K121" s="14" t="s">
        <v>652</v>
      </c>
      <c r="L121" s="14" t="s">
        <v>652</v>
      </c>
      <c r="M121" s="14" t="s">
        <v>622</v>
      </c>
      <c r="N121" s="14" t="s">
        <v>622</v>
      </c>
      <c r="O121" s="14" t="s">
        <v>661</v>
      </c>
      <c r="P121" s="14" t="s">
        <v>622</v>
      </c>
      <c r="Q121" t="s">
        <v>1039</v>
      </c>
      <c r="R121" t="s">
        <v>699</v>
      </c>
      <c r="S121" t="s">
        <v>405</v>
      </c>
      <c r="AG121" s="1" t="s">
        <v>383</v>
      </c>
    </row>
    <row r="122" spans="2:33" x14ac:dyDescent="0.2">
      <c r="B122">
        <f>ID编号[id编号]*10000+ROW()-6</f>
        <v>1040116</v>
      </c>
      <c r="C122" s="1" t="s">
        <v>363</v>
      </c>
      <c r="D122">
        <v>3</v>
      </c>
      <c r="E122">
        <v>14</v>
      </c>
      <c r="G122" s="14" t="s">
        <v>622</v>
      </c>
      <c r="H122" s="14" t="s">
        <v>622</v>
      </c>
      <c r="I122" s="14" t="s">
        <v>662</v>
      </c>
      <c r="J122" s="14" t="s">
        <v>662</v>
      </c>
      <c r="K122" s="14" t="s">
        <v>622</v>
      </c>
      <c r="L122" s="14" t="s">
        <v>622</v>
      </c>
      <c r="M122" s="14" t="s">
        <v>663</v>
      </c>
      <c r="N122" s="14" t="s">
        <v>663</v>
      </c>
      <c r="O122" s="14" t="s">
        <v>622</v>
      </c>
      <c r="P122" s="14" t="s">
        <v>622</v>
      </c>
      <c r="Q122" t="s">
        <v>1039</v>
      </c>
      <c r="R122" t="s">
        <v>699</v>
      </c>
      <c r="S122" t="s">
        <v>405</v>
      </c>
      <c r="AG122" s="1" t="s">
        <v>383</v>
      </c>
    </row>
    <row r="123" spans="2:33" x14ac:dyDescent="0.2">
      <c r="B123">
        <f>ID编号[id编号]*10000+ROW()-6</f>
        <v>1040117</v>
      </c>
      <c r="C123" s="1" t="s">
        <v>364</v>
      </c>
      <c r="D123">
        <v>3</v>
      </c>
      <c r="E123">
        <v>15</v>
      </c>
      <c r="G123" s="14" t="s">
        <v>622</v>
      </c>
      <c r="H123" s="14" t="s">
        <v>622</v>
      </c>
      <c r="I123" s="19" t="s">
        <v>662</v>
      </c>
      <c r="J123" s="19" t="s">
        <v>662</v>
      </c>
      <c r="K123" s="19" t="s">
        <v>622</v>
      </c>
      <c r="L123" s="19" t="s">
        <v>622</v>
      </c>
      <c r="M123" s="19" t="s">
        <v>663</v>
      </c>
      <c r="N123" s="19" t="s">
        <v>663</v>
      </c>
      <c r="O123" s="14" t="s">
        <v>622</v>
      </c>
      <c r="P123" s="14" t="s">
        <v>622</v>
      </c>
      <c r="Q123" t="s">
        <v>1039</v>
      </c>
      <c r="R123" t="s">
        <v>699</v>
      </c>
      <c r="S123" t="s">
        <v>405</v>
      </c>
      <c r="AG123" s="1" t="s">
        <v>383</v>
      </c>
    </row>
    <row r="124" spans="2:33" x14ac:dyDescent="0.2">
      <c r="B124">
        <f>ID编号[id编号]*10000+ROW()-6</f>
        <v>1040118</v>
      </c>
      <c r="C124" s="1" t="s">
        <v>365</v>
      </c>
      <c r="D124">
        <v>3</v>
      </c>
      <c r="E124">
        <v>16</v>
      </c>
      <c r="G124" s="14" t="s">
        <v>622</v>
      </c>
      <c r="H124" s="14" t="s">
        <v>622</v>
      </c>
      <c r="I124" s="14" t="s">
        <v>622</v>
      </c>
      <c r="J124" s="14" t="s">
        <v>622</v>
      </c>
      <c r="K124" s="14" t="s">
        <v>622</v>
      </c>
      <c r="L124" s="14" t="s">
        <v>622</v>
      </c>
      <c r="M124" s="14" t="s">
        <v>622</v>
      </c>
      <c r="N124" s="14" t="s">
        <v>622</v>
      </c>
      <c r="O124" s="14" t="s">
        <v>664</v>
      </c>
      <c r="P124" s="14" t="s">
        <v>662</v>
      </c>
      <c r="Q124" t="s">
        <v>1039</v>
      </c>
      <c r="R124" t="s">
        <v>699</v>
      </c>
      <c r="S124" t="s">
        <v>405</v>
      </c>
      <c r="AG124" s="1" t="s">
        <v>383</v>
      </c>
    </row>
    <row r="125" spans="2:33" x14ac:dyDescent="0.2">
      <c r="B125">
        <f>ID编号[id编号]*10000+ROW()-6</f>
        <v>1040119</v>
      </c>
      <c r="C125" s="1" t="s">
        <v>601</v>
      </c>
      <c r="D125">
        <v>4</v>
      </c>
      <c r="E125">
        <v>0</v>
      </c>
      <c r="F125">
        <v>0</v>
      </c>
      <c r="G125" s="14" t="s">
        <v>665</v>
      </c>
      <c r="H125" s="14" t="s">
        <v>622</v>
      </c>
      <c r="I125" s="14" t="s">
        <v>622</v>
      </c>
      <c r="J125" s="14" t="s">
        <v>622</v>
      </c>
      <c r="K125" s="14" t="s">
        <v>622</v>
      </c>
      <c r="L125" s="14" t="s">
        <v>622</v>
      </c>
      <c r="M125" s="14" t="s">
        <v>622</v>
      </c>
      <c r="N125" s="14" t="s">
        <v>622</v>
      </c>
      <c r="O125" s="14" t="s">
        <v>622</v>
      </c>
      <c r="P125" s="14" t="s">
        <v>622</v>
      </c>
      <c r="Q125" t="s">
        <v>1044</v>
      </c>
      <c r="R125" t="s">
        <v>1043</v>
      </c>
      <c r="S125" t="s">
        <v>412</v>
      </c>
      <c r="T125" t="s">
        <v>759</v>
      </c>
      <c r="U125" t="s">
        <v>750</v>
      </c>
      <c r="V125" t="s">
        <v>416</v>
      </c>
      <c r="AG125" s="1" t="s">
        <v>384</v>
      </c>
    </row>
    <row r="126" spans="2:33" x14ac:dyDescent="0.2">
      <c r="B126">
        <f>ID编号[id编号]*10000+ROW()-6</f>
        <v>1040120</v>
      </c>
      <c r="C126" s="1" t="s">
        <v>599</v>
      </c>
      <c r="D126">
        <v>4</v>
      </c>
      <c r="E126">
        <v>1</v>
      </c>
      <c r="F126">
        <v>1</v>
      </c>
      <c r="G126" s="14" t="s">
        <v>622</v>
      </c>
      <c r="H126" s="14" t="s">
        <v>665</v>
      </c>
      <c r="I126" s="14" t="s">
        <v>622</v>
      </c>
      <c r="J126" s="14" t="s">
        <v>622</v>
      </c>
      <c r="K126" s="14" t="s">
        <v>622</v>
      </c>
      <c r="L126" s="14" t="s">
        <v>622</v>
      </c>
      <c r="M126" s="14" t="s">
        <v>622</v>
      </c>
      <c r="N126" s="14" t="s">
        <v>622</v>
      </c>
      <c r="O126" s="14" t="s">
        <v>622</v>
      </c>
      <c r="P126" s="14" t="s">
        <v>622</v>
      </c>
      <c r="Q126" t="s">
        <v>1040</v>
      </c>
      <c r="R126" t="s">
        <v>699</v>
      </c>
      <c r="S126" t="s">
        <v>414</v>
      </c>
      <c r="T126" t="s">
        <v>831</v>
      </c>
      <c r="U126" t="s">
        <v>749</v>
      </c>
      <c r="V126" t="s">
        <v>418</v>
      </c>
      <c r="AG126" s="1" t="s">
        <v>385</v>
      </c>
    </row>
    <row r="127" spans="2:33" x14ac:dyDescent="0.2">
      <c r="B127">
        <f>ID编号[id编号]*10000+ROW()-6</f>
        <v>1040121</v>
      </c>
      <c r="C127" s="1" t="s">
        <v>600</v>
      </c>
      <c r="D127">
        <v>4</v>
      </c>
      <c r="E127">
        <v>11</v>
      </c>
      <c r="F127">
        <v>1</v>
      </c>
      <c r="G127" s="14" t="s">
        <v>622</v>
      </c>
      <c r="H127" s="14" t="s">
        <v>665</v>
      </c>
      <c r="I127" s="14" t="s">
        <v>622</v>
      </c>
      <c r="J127" s="14" t="s">
        <v>622</v>
      </c>
      <c r="K127" s="14" t="s">
        <v>622</v>
      </c>
      <c r="L127" s="14" t="s">
        <v>622</v>
      </c>
      <c r="M127" s="14" t="s">
        <v>622</v>
      </c>
      <c r="N127" s="14" t="s">
        <v>622</v>
      </c>
      <c r="O127" s="14" t="s">
        <v>622</v>
      </c>
      <c r="P127" s="14" t="s">
        <v>622</v>
      </c>
      <c r="Q127" t="s">
        <v>1041</v>
      </c>
      <c r="R127" t="s">
        <v>699</v>
      </c>
      <c r="S127" t="s">
        <v>422</v>
      </c>
      <c r="T127" t="s">
        <v>832</v>
      </c>
      <c r="U127" t="s">
        <v>753</v>
      </c>
      <c r="V127" t="s">
        <v>420</v>
      </c>
      <c r="AG127" s="1" t="s">
        <v>386</v>
      </c>
    </row>
    <row r="128" spans="2:33" x14ac:dyDescent="0.2">
      <c r="B128">
        <f>ID编号[id编号]*10000+ROW()-6</f>
        <v>1040122</v>
      </c>
      <c r="C128" s="1" t="s">
        <v>602</v>
      </c>
      <c r="D128">
        <v>4</v>
      </c>
      <c r="E128">
        <v>8</v>
      </c>
      <c r="F128">
        <v>0</v>
      </c>
      <c r="G128" s="14" t="s">
        <v>665</v>
      </c>
      <c r="H128" s="14" t="s">
        <v>622</v>
      </c>
      <c r="I128" s="14" t="s">
        <v>622</v>
      </c>
      <c r="J128" s="14" t="s">
        <v>622</v>
      </c>
      <c r="K128" s="14" t="s">
        <v>622</v>
      </c>
      <c r="L128" s="14" t="s">
        <v>622</v>
      </c>
      <c r="M128" s="14" t="s">
        <v>622</v>
      </c>
      <c r="N128" s="14" t="s">
        <v>622</v>
      </c>
      <c r="O128" s="14" t="s">
        <v>622</v>
      </c>
      <c r="P128" s="14" t="s">
        <v>622</v>
      </c>
      <c r="Q128" t="s">
        <v>1041</v>
      </c>
      <c r="R128" t="s">
        <v>699</v>
      </c>
      <c r="S128" t="s">
        <v>422</v>
      </c>
      <c r="T128" t="s">
        <v>833</v>
      </c>
      <c r="U128" t="s">
        <v>752</v>
      </c>
      <c r="V128" t="s">
        <v>424</v>
      </c>
      <c r="AG128" s="1" t="s">
        <v>387</v>
      </c>
    </row>
    <row r="129" spans="2:33" x14ac:dyDescent="0.2">
      <c r="B129">
        <f>ID编号[id编号]*10000+ROW()-6</f>
        <v>1040123</v>
      </c>
      <c r="C129" s="1" t="s">
        <v>366</v>
      </c>
      <c r="D129">
        <v>4</v>
      </c>
      <c r="E129">
        <v>13</v>
      </c>
      <c r="G129" s="14" t="s">
        <v>622</v>
      </c>
      <c r="H129" s="14" t="s">
        <v>622</v>
      </c>
      <c r="I129" s="14" t="s">
        <v>622</v>
      </c>
      <c r="J129" s="14" t="s">
        <v>622</v>
      </c>
      <c r="K129" s="14" t="s">
        <v>653</v>
      </c>
      <c r="L129" s="14" t="s">
        <v>653</v>
      </c>
      <c r="M129" s="14" t="s">
        <v>622</v>
      </c>
      <c r="N129" s="14" t="s">
        <v>622</v>
      </c>
      <c r="O129" s="14" t="s">
        <v>666</v>
      </c>
      <c r="P129" s="14" t="s">
        <v>622</v>
      </c>
      <c r="Q129" t="s">
        <v>1040</v>
      </c>
      <c r="R129" t="s">
        <v>699</v>
      </c>
      <c r="S129" t="s">
        <v>414</v>
      </c>
      <c r="T129" t="s">
        <v>834</v>
      </c>
      <c r="U129" t="s">
        <v>754</v>
      </c>
      <c r="V129" t="s">
        <v>426</v>
      </c>
      <c r="AG129" s="1" t="s">
        <v>388</v>
      </c>
    </row>
    <row r="130" spans="2:33" x14ac:dyDescent="0.2">
      <c r="B130">
        <f>ID编号[id编号]*10000+ROW()-6</f>
        <v>1040124</v>
      </c>
      <c r="C130" s="1" t="s">
        <v>367</v>
      </c>
      <c r="D130">
        <v>4</v>
      </c>
      <c r="E130">
        <v>14</v>
      </c>
      <c r="G130" s="14" t="s">
        <v>622</v>
      </c>
      <c r="H130" s="14" t="s">
        <v>622</v>
      </c>
      <c r="I130" s="14" t="s">
        <v>667</v>
      </c>
      <c r="J130" s="14" t="s">
        <v>667</v>
      </c>
      <c r="K130" s="14" t="s">
        <v>622</v>
      </c>
      <c r="L130" s="14" t="s">
        <v>622</v>
      </c>
      <c r="M130" s="14" t="s">
        <v>624</v>
      </c>
      <c r="N130" s="14" t="s">
        <v>624</v>
      </c>
      <c r="O130" s="14" t="s">
        <v>622</v>
      </c>
      <c r="P130" s="14" t="s">
        <v>622</v>
      </c>
      <c r="Q130" t="s">
        <v>1040</v>
      </c>
      <c r="R130" t="s">
        <v>699</v>
      </c>
      <c r="S130" t="s">
        <v>414</v>
      </c>
      <c r="T130" t="s">
        <v>835</v>
      </c>
      <c r="U130" t="s">
        <v>836</v>
      </c>
      <c r="V130" t="s">
        <v>428</v>
      </c>
      <c r="AG130" s="1" t="s">
        <v>388</v>
      </c>
    </row>
    <row r="131" spans="2:33" x14ac:dyDescent="0.2">
      <c r="B131">
        <f>ID编号[id编号]*10000+ROW()-6</f>
        <v>1040125</v>
      </c>
      <c r="C131" s="1" t="s">
        <v>368</v>
      </c>
      <c r="D131">
        <v>4</v>
      </c>
      <c r="E131">
        <v>15</v>
      </c>
      <c r="G131" s="14" t="s">
        <v>622</v>
      </c>
      <c r="H131" s="14" t="s">
        <v>622</v>
      </c>
      <c r="I131" s="19" t="s">
        <v>667</v>
      </c>
      <c r="J131" s="19" t="s">
        <v>667</v>
      </c>
      <c r="K131" s="19" t="s">
        <v>622</v>
      </c>
      <c r="L131" s="19" t="s">
        <v>622</v>
      </c>
      <c r="M131" s="19" t="s">
        <v>624</v>
      </c>
      <c r="N131" s="19" t="s">
        <v>624</v>
      </c>
      <c r="O131" s="14" t="s">
        <v>622</v>
      </c>
      <c r="P131" s="14" t="s">
        <v>622</v>
      </c>
      <c r="Q131" t="s">
        <v>1040</v>
      </c>
      <c r="R131" t="s">
        <v>699</v>
      </c>
      <c r="S131" t="s">
        <v>413</v>
      </c>
      <c r="T131" t="s">
        <v>837</v>
      </c>
      <c r="U131" t="s">
        <v>838</v>
      </c>
      <c r="V131" t="s">
        <v>430</v>
      </c>
      <c r="AG131" s="1" t="s">
        <v>388</v>
      </c>
    </row>
    <row r="132" spans="2:33" x14ac:dyDescent="0.2">
      <c r="B132">
        <f>ID编号[id编号]*10000+ROW()-6</f>
        <v>1040126</v>
      </c>
      <c r="C132" s="1" t="s">
        <v>369</v>
      </c>
      <c r="D132">
        <v>4</v>
      </c>
      <c r="E132">
        <v>16</v>
      </c>
      <c r="G132" s="14" t="s">
        <v>622</v>
      </c>
      <c r="H132" s="14" t="s">
        <v>622</v>
      </c>
      <c r="I132" s="14" t="s">
        <v>622</v>
      </c>
      <c r="J132" s="14" t="s">
        <v>622</v>
      </c>
      <c r="K132" s="14" t="s">
        <v>622</v>
      </c>
      <c r="L132" s="14" t="s">
        <v>622</v>
      </c>
      <c r="M132" s="14" t="s">
        <v>622</v>
      </c>
      <c r="N132" s="14" t="s">
        <v>622</v>
      </c>
      <c r="O132" s="14" t="s">
        <v>666</v>
      </c>
      <c r="P132" s="14" t="s">
        <v>667</v>
      </c>
      <c r="Q132" t="s">
        <v>1040</v>
      </c>
      <c r="R132" t="s">
        <v>699</v>
      </c>
      <c r="S132" t="s">
        <v>413</v>
      </c>
      <c r="T132" t="s">
        <v>839</v>
      </c>
      <c r="U132" t="s">
        <v>840</v>
      </c>
      <c r="V132" t="s">
        <v>432</v>
      </c>
      <c r="AG132" s="1" t="s">
        <v>388</v>
      </c>
    </row>
    <row r="133" spans="2:33" x14ac:dyDescent="0.2">
      <c r="B133">
        <f>ID编号[id编号]*10000+ROW()-6</f>
        <v>1040127</v>
      </c>
      <c r="C133" s="1" t="s">
        <v>603</v>
      </c>
      <c r="D133">
        <v>4</v>
      </c>
      <c r="E133">
        <v>4</v>
      </c>
      <c r="F133">
        <v>0</v>
      </c>
      <c r="G133" s="14" t="s">
        <v>665</v>
      </c>
      <c r="H133" s="14" t="s">
        <v>622</v>
      </c>
      <c r="I133" s="14" t="s">
        <v>622</v>
      </c>
      <c r="J133" s="14" t="s">
        <v>622</v>
      </c>
      <c r="K133" s="14" t="s">
        <v>622</v>
      </c>
      <c r="L133" s="14" t="s">
        <v>622</v>
      </c>
      <c r="M133" s="14" t="s">
        <v>622</v>
      </c>
      <c r="N133" s="14" t="s">
        <v>622</v>
      </c>
      <c r="O133" s="14" t="s">
        <v>622</v>
      </c>
      <c r="P133" s="14" t="s">
        <v>622</v>
      </c>
      <c r="Q133" t="s">
        <v>1045</v>
      </c>
      <c r="R133" t="s">
        <v>1043</v>
      </c>
      <c r="S133" t="s">
        <v>434</v>
      </c>
      <c r="T133" t="s">
        <v>438</v>
      </c>
      <c r="U133" t="s">
        <v>841</v>
      </c>
      <c r="V133" t="s">
        <v>440</v>
      </c>
      <c r="AG133" s="1" t="s">
        <v>389</v>
      </c>
    </row>
    <row r="134" spans="2:33" x14ac:dyDescent="0.2">
      <c r="B134">
        <f>ID编号[id编号]*10000+ROW()-6</f>
        <v>1040128</v>
      </c>
      <c r="C134" s="1" t="s">
        <v>604</v>
      </c>
      <c r="D134">
        <v>4</v>
      </c>
      <c r="E134">
        <v>3</v>
      </c>
      <c r="F134">
        <v>1</v>
      </c>
      <c r="G134" s="14" t="s">
        <v>622</v>
      </c>
      <c r="H134" s="14" t="s">
        <v>665</v>
      </c>
      <c r="I134" s="14" t="s">
        <v>622</v>
      </c>
      <c r="J134" s="14" t="s">
        <v>622</v>
      </c>
      <c r="K134" s="14" t="s">
        <v>622</v>
      </c>
      <c r="L134" s="14" t="s">
        <v>622</v>
      </c>
      <c r="M134" s="14" t="s">
        <v>622</v>
      </c>
      <c r="N134" s="14" t="s">
        <v>622</v>
      </c>
      <c r="O134" s="14" t="s">
        <v>622</v>
      </c>
      <c r="P134" s="14" t="s">
        <v>622</v>
      </c>
      <c r="Q134" t="s">
        <v>1045</v>
      </c>
      <c r="R134" t="s">
        <v>1043</v>
      </c>
      <c r="S134" t="s">
        <v>434</v>
      </c>
      <c r="T134" t="s">
        <v>842</v>
      </c>
      <c r="U134" t="s">
        <v>843</v>
      </c>
      <c r="V134" t="s">
        <v>436</v>
      </c>
      <c r="AG134" s="1" t="s">
        <v>390</v>
      </c>
    </row>
    <row r="135" spans="2:33" x14ac:dyDescent="0.2">
      <c r="B135">
        <f>ID编号[id编号]*10000+ROW()-6</f>
        <v>1040129</v>
      </c>
      <c r="C135" s="1" t="s">
        <v>605</v>
      </c>
      <c r="D135">
        <v>4</v>
      </c>
      <c r="E135">
        <v>8</v>
      </c>
      <c r="F135">
        <v>0</v>
      </c>
      <c r="G135" s="14" t="s">
        <v>665</v>
      </c>
      <c r="H135" s="14" t="s">
        <v>622</v>
      </c>
      <c r="I135" s="14" t="s">
        <v>622</v>
      </c>
      <c r="J135" s="14" t="s">
        <v>622</v>
      </c>
      <c r="K135" s="14" t="s">
        <v>622</v>
      </c>
      <c r="L135" s="14" t="s">
        <v>622</v>
      </c>
      <c r="M135" s="14" t="s">
        <v>622</v>
      </c>
      <c r="N135" s="14" t="s">
        <v>622</v>
      </c>
      <c r="O135" s="14" t="s">
        <v>622</v>
      </c>
      <c r="P135" s="14" t="s">
        <v>622</v>
      </c>
      <c r="Q135" t="s">
        <v>1045</v>
      </c>
      <c r="R135" t="s">
        <v>1043</v>
      </c>
      <c r="S135" t="s">
        <v>434</v>
      </c>
      <c r="T135" t="s">
        <v>442</v>
      </c>
      <c r="U135" t="s">
        <v>844</v>
      </c>
      <c r="V135" t="s">
        <v>444</v>
      </c>
      <c r="AG135" s="1" t="s">
        <v>391</v>
      </c>
    </row>
    <row r="136" spans="2:33" x14ac:dyDescent="0.2">
      <c r="B136">
        <f>ID编号[id编号]*10000+ROW()-6</f>
        <v>1040130</v>
      </c>
      <c r="C136" s="1" t="s">
        <v>606</v>
      </c>
      <c r="D136">
        <v>4</v>
      </c>
      <c r="E136">
        <v>12</v>
      </c>
      <c r="F136">
        <v>1</v>
      </c>
      <c r="G136" s="14" t="s">
        <v>622</v>
      </c>
      <c r="H136" s="14" t="s">
        <v>665</v>
      </c>
      <c r="I136" s="14" t="s">
        <v>622</v>
      </c>
      <c r="J136" s="14" t="s">
        <v>622</v>
      </c>
      <c r="K136" s="14" t="s">
        <v>622</v>
      </c>
      <c r="L136" s="14" t="s">
        <v>622</v>
      </c>
      <c r="M136" s="14" t="s">
        <v>622</v>
      </c>
      <c r="N136" s="14" t="s">
        <v>622</v>
      </c>
      <c r="O136" s="14" t="s">
        <v>622</v>
      </c>
      <c r="P136" s="14" t="s">
        <v>622</v>
      </c>
      <c r="Q136" t="s">
        <v>1045</v>
      </c>
      <c r="R136" t="s">
        <v>1043</v>
      </c>
      <c r="S136" t="s">
        <v>433</v>
      </c>
      <c r="T136" t="s">
        <v>446</v>
      </c>
      <c r="U136" t="s">
        <v>845</v>
      </c>
      <c r="V136" t="s">
        <v>448</v>
      </c>
      <c r="AG136" s="1" t="s">
        <v>392</v>
      </c>
    </row>
    <row r="137" spans="2:33" x14ac:dyDescent="0.2">
      <c r="B137">
        <f>ID编号[id编号]*10000+ROW()-6</f>
        <v>1040131</v>
      </c>
      <c r="C137" s="1" t="s">
        <v>370</v>
      </c>
      <c r="D137">
        <v>4</v>
      </c>
      <c r="E137">
        <v>13</v>
      </c>
      <c r="G137" s="14" t="s">
        <v>622</v>
      </c>
      <c r="H137" s="14" t="s">
        <v>622</v>
      </c>
      <c r="I137" s="14" t="s">
        <v>622</v>
      </c>
      <c r="J137" s="14" t="s">
        <v>622</v>
      </c>
      <c r="K137" s="14" t="s">
        <v>653</v>
      </c>
      <c r="L137" s="14" t="s">
        <v>653</v>
      </c>
      <c r="M137" s="14" t="s">
        <v>622</v>
      </c>
      <c r="N137" s="14" t="s">
        <v>622</v>
      </c>
      <c r="O137" s="14" t="s">
        <v>666</v>
      </c>
      <c r="P137" s="14" t="s">
        <v>622</v>
      </c>
      <c r="Q137" t="s">
        <v>1045</v>
      </c>
      <c r="R137" t="s">
        <v>1043</v>
      </c>
      <c r="S137" t="s">
        <v>433</v>
      </c>
      <c r="T137" t="s">
        <v>846</v>
      </c>
      <c r="U137" t="s">
        <v>847</v>
      </c>
      <c r="V137" t="s">
        <v>449</v>
      </c>
      <c r="AG137" s="1" t="s">
        <v>393</v>
      </c>
    </row>
    <row r="138" spans="2:33" x14ac:dyDescent="0.2">
      <c r="B138">
        <f>ID编号[id编号]*10000+ROW()-6</f>
        <v>1040132</v>
      </c>
      <c r="C138" s="1" t="s">
        <v>371</v>
      </c>
      <c r="D138">
        <v>4</v>
      </c>
      <c r="E138">
        <v>14</v>
      </c>
      <c r="G138" s="14" t="s">
        <v>622</v>
      </c>
      <c r="H138" s="14" t="s">
        <v>622</v>
      </c>
      <c r="I138" s="14" t="s">
        <v>667</v>
      </c>
      <c r="J138" s="14" t="s">
        <v>667</v>
      </c>
      <c r="K138" s="14" t="s">
        <v>622</v>
      </c>
      <c r="L138" s="14" t="s">
        <v>622</v>
      </c>
      <c r="M138" s="14" t="s">
        <v>624</v>
      </c>
      <c r="N138" s="14" t="s">
        <v>624</v>
      </c>
      <c r="O138" s="14" t="s">
        <v>622</v>
      </c>
      <c r="P138" s="14" t="s">
        <v>622</v>
      </c>
      <c r="Q138" t="s">
        <v>1045</v>
      </c>
      <c r="R138" t="s">
        <v>1043</v>
      </c>
      <c r="S138" t="s">
        <v>433</v>
      </c>
      <c r="T138" t="s">
        <v>848</v>
      </c>
      <c r="U138" t="s">
        <v>849</v>
      </c>
      <c r="V138" t="s">
        <v>453</v>
      </c>
      <c r="AG138" s="1" t="s">
        <v>394</v>
      </c>
    </row>
    <row r="139" spans="2:33" x14ac:dyDescent="0.2">
      <c r="B139">
        <f>ID编号[id编号]*10000+ROW()-6</f>
        <v>1040133</v>
      </c>
      <c r="C139" s="1" t="s">
        <v>372</v>
      </c>
      <c r="D139">
        <v>4</v>
      </c>
      <c r="E139">
        <v>15</v>
      </c>
      <c r="G139" s="14" t="s">
        <v>622</v>
      </c>
      <c r="H139" s="14" t="s">
        <v>622</v>
      </c>
      <c r="I139" s="19" t="s">
        <v>667</v>
      </c>
      <c r="J139" s="19" t="s">
        <v>667</v>
      </c>
      <c r="K139" s="19" t="s">
        <v>622</v>
      </c>
      <c r="L139" s="19" t="s">
        <v>622</v>
      </c>
      <c r="M139" s="19" t="s">
        <v>624</v>
      </c>
      <c r="N139" s="19" t="s">
        <v>624</v>
      </c>
      <c r="O139" s="14" t="s">
        <v>622</v>
      </c>
      <c r="P139" s="14" t="s">
        <v>622</v>
      </c>
      <c r="Q139" t="s">
        <v>1045</v>
      </c>
      <c r="R139" t="s">
        <v>1043</v>
      </c>
      <c r="S139" t="s">
        <v>433</v>
      </c>
      <c r="T139" t="s">
        <v>850</v>
      </c>
      <c r="U139" t="s">
        <v>851</v>
      </c>
      <c r="V139" t="s">
        <v>451</v>
      </c>
      <c r="AG139" s="1" t="s">
        <v>395</v>
      </c>
    </row>
    <row r="140" spans="2:33" x14ac:dyDescent="0.2">
      <c r="B140">
        <f>ID编号[id编号]*10000+ROW()-6</f>
        <v>1040134</v>
      </c>
      <c r="C140" s="1" t="s">
        <v>373</v>
      </c>
      <c r="D140">
        <v>4</v>
      </c>
      <c r="E140">
        <v>16</v>
      </c>
      <c r="G140" s="14" t="s">
        <v>622</v>
      </c>
      <c r="H140" s="14" t="s">
        <v>622</v>
      </c>
      <c r="I140" s="14" t="s">
        <v>622</v>
      </c>
      <c r="J140" s="14" t="s">
        <v>622</v>
      </c>
      <c r="K140" s="14" t="s">
        <v>622</v>
      </c>
      <c r="L140" s="14" t="s">
        <v>622</v>
      </c>
      <c r="M140" s="14" t="s">
        <v>622</v>
      </c>
      <c r="N140" s="14" t="s">
        <v>622</v>
      </c>
      <c r="O140" s="14" t="s">
        <v>666</v>
      </c>
      <c r="P140" s="14" t="s">
        <v>667</v>
      </c>
      <c r="Q140" t="s">
        <v>1045</v>
      </c>
      <c r="R140" t="s">
        <v>1043</v>
      </c>
      <c r="S140" t="s">
        <v>433</v>
      </c>
      <c r="T140" t="s">
        <v>852</v>
      </c>
      <c r="U140" t="s">
        <v>751</v>
      </c>
      <c r="V140" t="s">
        <v>455</v>
      </c>
      <c r="AG140" s="1" t="s">
        <v>396</v>
      </c>
    </row>
    <row r="141" spans="2:33" x14ac:dyDescent="0.2">
      <c r="B141">
        <f>ID编号[id编号]*10000+ROW()-6</f>
        <v>1040135</v>
      </c>
      <c r="C141" s="1" t="s">
        <v>607</v>
      </c>
      <c r="D141">
        <v>5</v>
      </c>
      <c r="E141">
        <v>4</v>
      </c>
      <c r="F141">
        <v>0</v>
      </c>
      <c r="G141" s="14" t="s">
        <v>668</v>
      </c>
      <c r="H141" s="14" t="s">
        <v>622</v>
      </c>
      <c r="I141" s="14" t="s">
        <v>622</v>
      </c>
      <c r="J141" s="14" t="s">
        <v>622</v>
      </c>
      <c r="K141" s="14" t="s">
        <v>622</v>
      </c>
      <c r="L141" s="14" t="s">
        <v>622</v>
      </c>
      <c r="M141" s="14" t="s">
        <v>622</v>
      </c>
      <c r="N141" s="14" t="s">
        <v>622</v>
      </c>
      <c r="O141" s="14" t="s">
        <v>622</v>
      </c>
      <c r="P141" s="14" t="s">
        <v>622</v>
      </c>
      <c r="Q141" t="s">
        <v>1041</v>
      </c>
      <c r="R141" t="s">
        <v>699</v>
      </c>
      <c r="S141" t="s">
        <v>422</v>
      </c>
      <c r="T141" t="s">
        <v>438</v>
      </c>
      <c r="U141" t="s">
        <v>841</v>
      </c>
      <c r="V141" t="s">
        <v>440</v>
      </c>
      <c r="W141" t="s">
        <v>856</v>
      </c>
      <c r="X141" t="s">
        <v>857</v>
      </c>
      <c r="Y141" t="s">
        <v>466</v>
      </c>
      <c r="AG141" s="1" t="s">
        <v>397</v>
      </c>
    </row>
    <row r="142" spans="2:33" x14ac:dyDescent="0.2">
      <c r="B142">
        <f>ID编号[id编号]*10000+ROW()-6</f>
        <v>1040136</v>
      </c>
      <c r="C142" s="1" t="s">
        <v>608</v>
      </c>
      <c r="D142">
        <v>5</v>
      </c>
      <c r="E142">
        <v>3</v>
      </c>
      <c r="F142">
        <v>1</v>
      </c>
      <c r="G142" s="14" t="s">
        <v>622</v>
      </c>
      <c r="H142" s="14" t="s">
        <v>668</v>
      </c>
      <c r="I142" s="14" t="s">
        <v>622</v>
      </c>
      <c r="J142" s="14" t="s">
        <v>622</v>
      </c>
      <c r="K142" s="14" t="s">
        <v>622</v>
      </c>
      <c r="L142" s="14" t="s">
        <v>622</v>
      </c>
      <c r="M142" s="14" t="s">
        <v>622</v>
      </c>
      <c r="N142" s="14" t="s">
        <v>622</v>
      </c>
      <c r="O142" s="14" t="s">
        <v>622</v>
      </c>
      <c r="P142" s="14" t="s">
        <v>622</v>
      </c>
      <c r="Q142" t="s">
        <v>1041</v>
      </c>
      <c r="R142" t="s">
        <v>699</v>
      </c>
      <c r="S142" t="s">
        <v>422</v>
      </c>
      <c r="T142" t="s">
        <v>842</v>
      </c>
      <c r="U142" t="s">
        <v>843</v>
      </c>
      <c r="V142" t="s">
        <v>436</v>
      </c>
      <c r="W142" t="s">
        <v>858</v>
      </c>
      <c r="X142" t="s">
        <v>859</v>
      </c>
      <c r="Y142" t="s">
        <v>468</v>
      </c>
      <c r="AG142" s="1" t="s">
        <v>398</v>
      </c>
    </row>
    <row r="143" spans="2:33" x14ac:dyDescent="0.2">
      <c r="B143">
        <f>ID编号[id编号]*10000+ROW()-6</f>
        <v>1040137</v>
      </c>
      <c r="C143" s="1" t="s">
        <v>609</v>
      </c>
      <c r="D143">
        <v>5</v>
      </c>
      <c r="E143">
        <v>8</v>
      </c>
      <c r="F143">
        <v>0</v>
      </c>
      <c r="G143" s="14" t="s">
        <v>668</v>
      </c>
      <c r="H143" s="14" t="s">
        <v>622</v>
      </c>
      <c r="I143" s="14" t="s">
        <v>622</v>
      </c>
      <c r="J143" s="14" t="s">
        <v>622</v>
      </c>
      <c r="K143" s="14" t="s">
        <v>622</v>
      </c>
      <c r="L143" s="14" t="s">
        <v>622</v>
      </c>
      <c r="M143" s="14" t="s">
        <v>622</v>
      </c>
      <c r="N143" s="14" t="s">
        <v>622</v>
      </c>
      <c r="O143" s="14" t="s">
        <v>622</v>
      </c>
      <c r="P143" s="14" t="s">
        <v>622</v>
      </c>
      <c r="Q143" t="s">
        <v>1041</v>
      </c>
      <c r="R143" t="s">
        <v>699</v>
      </c>
      <c r="S143" t="s">
        <v>421</v>
      </c>
      <c r="T143" t="s">
        <v>442</v>
      </c>
      <c r="U143" t="s">
        <v>844</v>
      </c>
      <c r="V143" t="s">
        <v>444</v>
      </c>
      <c r="W143" t="s">
        <v>470</v>
      </c>
      <c r="X143" t="s">
        <v>860</v>
      </c>
      <c r="Y143" t="s">
        <v>472</v>
      </c>
      <c r="AG143" s="1" t="s">
        <v>399</v>
      </c>
    </row>
    <row r="144" spans="2:33" x14ac:dyDescent="0.2">
      <c r="B144">
        <f>ID编号[id编号]*10000+ROW()-6</f>
        <v>1040138</v>
      </c>
      <c r="C144" s="1" t="s">
        <v>610</v>
      </c>
      <c r="D144">
        <v>5</v>
      </c>
      <c r="E144">
        <v>12</v>
      </c>
      <c r="F144">
        <v>1</v>
      </c>
      <c r="G144" s="14" t="s">
        <v>622</v>
      </c>
      <c r="H144" s="14" t="s">
        <v>668</v>
      </c>
      <c r="I144" s="14" t="s">
        <v>622</v>
      </c>
      <c r="J144" s="14" t="s">
        <v>622</v>
      </c>
      <c r="K144" s="14" t="s">
        <v>622</v>
      </c>
      <c r="L144" s="14" t="s">
        <v>622</v>
      </c>
      <c r="M144" s="14" t="s">
        <v>622</v>
      </c>
      <c r="N144" s="14" t="s">
        <v>622</v>
      </c>
      <c r="O144" s="14" t="s">
        <v>622</v>
      </c>
      <c r="P144" s="14" t="s">
        <v>622</v>
      </c>
      <c r="Q144" t="s">
        <v>1041</v>
      </c>
      <c r="R144" t="s">
        <v>699</v>
      </c>
      <c r="S144" t="s">
        <v>421</v>
      </c>
      <c r="T144" t="s">
        <v>853</v>
      </c>
      <c r="U144" t="s">
        <v>854</v>
      </c>
      <c r="V144" t="s">
        <v>474</v>
      </c>
      <c r="W144" t="s">
        <v>861</v>
      </c>
      <c r="X144" t="s">
        <v>862</v>
      </c>
      <c r="Y144" t="s">
        <v>476</v>
      </c>
      <c r="AG144" s="1" t="s">
        <v>400</v>
      </c>
    </row>
    <row r="145" spans="2:33" x14ac:dyDescent="0.2">
      <c r="B145">
        <f>ID编号[id编号]*10000+ROW()-6</f>
        <v>1040139</v>
      </c>
      <c r="C145" s="1" t="s">
        <v>611</v>
      </c>
      <c r="D145">
        <v>5</v>
      </c>
      <c r="E145">
        <v>13</v>
      </c>
      <c r="G145" s="14" t="s">
        <v>622</v>
      </c>
      <c r="H145" s="14" t="s">
        <v>622</v>
      </c>
      <c r="I145" s="14" t="s">
        <v>622</v>
      </c>
      <c r="J145" s="14" t="s">
        <v>622</v>
      </c>
      <c r="K145" s="14" t="s">
        <v>669</v>
      </c>
      <c r="L145" s="14" t="s">
        <v>669</v>
      </c>
      <c r="M145" s="14" t="s">
        <v>622</v>
      </c>
      <c r="N145" s="14" t="s">
        <v>622</v>
      </c>
      <c r="O145" s="14" t="s">
        <v>670</v>
      </c>
      <c r="P145" s="14" t="s">
        <v>622</v>
      </c>
      <c r="Q145" t="s">
        <v>1046</v>
      </c>
      <c r="R145" t="s">
        <v>1043</v>
      </c>
      <c r="S145" t="s">
        <v>464</v>
      </c>
      <c r="T145" t="s">
        <v>855</v>
      </c>
      <c r="U145" t="s">
        <v>847</v>
      </c>
      <c r="V145" t="s">
        <v>456</v>
      </c>
      <c r="W145" t="s">
        <v>863</v>
      </c>
      <c r="X145" t="s">
        <v>864</v>
      </c>
      <c r="Y145" t="s">
        <v>477</v>
      </c>
      <c r="AG145" s="1" t="s">
        <v>401</v>
      </c>
    </row>
    <row r="146" spans="2:33" x14ac:dyDescent="0.2">
      <c r="B146">
        <f>ID编号[id编号]*10000+ROW()-6</f>
        <v>1040140</v>
      </c>
      <c r="C146" s="1" t="s">
        <v>612</v>
      </c>
      <c r="D146">
        <v>5</v>
      </c>
      <c r="E146">
        <v>14</v>
      </c>
      <c r="G146" s="14" t="s">
        <v>622</v>
      </c>
      <c r="H146" s="14" t="s">
        <v>622</v>
      </c>
      <c r="I146" s="14" t="s">
        <v>671</v>
      </c>
      <c r="J146" s="14" t="s">
        <v>671</v>
      </c>
      <c r="K146" s="14" t="s">
        <v>622</v>
      </c>
      <c r="L146" s="14" t="s">
        <v>622</v>
      </c>
      <c r="M146" s="14" t="s">
        <v>672</v>
      </c>
      <c r="N146" s="14" t="s">
        <v>672</v>
      </c>
      <c r="O146" s="14" t="s">
        <v>622</v>
      </c>
      <c r="P146" s="14" t="s">
        <v>622</v>
      </c>
      <c r="Q146" t="s">
        <v>1046</v>
      </c>
      <c r="R146" t="s">
        <v>1043</v>
      </c>
      <c r="S146" t="s">
        <v>464</v>
      </c>
      <c r="T146" t="s">
        <v>848</v>
      </c>
      <c r="U146" t="s">
        <v>849</v>
      </c>
      <c r="V146" t="s">
        <v>462</v>
      </c>
      <c r="W146" t="s">
        <v>863</v>
      </c>
      <c r="X146" t="s">
        <v>864</v>
      </c>
      <c r="Y146" t="s">
        <v>477</v>
      </c>
      <c r="AG146" s="1" t="s">
        <v>402</v>
      </c>
    </row>
    <row r="147" spans="2:33" x14ac:dyDescent="0.2">
      <c r="B147">
        <f>ID编号[id编号]*10000+ROW()-6</f>
        <v>1040141</v>
      </c>
      <c r="C147" s="1" t="s">
        <v>613</v>
      </c>
      <c r="D147">
        <v>5</v>
      </c>
      <c r="E147">
        <v>15</v>
      </c>
      <c r="G147" s="14" t="s">
        <v>622</v>
      </c>
      <c r="H147" s="14" t="s">
        <v>622</v>
      </c>
      <c r="I147" s="19" t="s">
        <v>671</v>
      </c>
      <c r="J147" s="19" t="s">
        <v>671</v>
      </c>
      <c r="K147" s="19" t="s">
        <v>622</v>
      </c>
      <c r="L147" s="19" t="s">
        <v>622</v>
      </c>
      <c r="M147" s="19" t="s">
        <v>672</v>
      </c>
      <c r="N147" s="19" t="s">
        <v>672</v>
      </c>
      <c r="O147" s="14" t="s">
        <v>622</v>
      </c>
      <c r="P147" s="14" t="s">
        <v>622</v>
      </c>
      <c r="Q147" t="s">
        <v>1046</v>
      </c>
      <c r="R147" t="s">
        <v>1043</v>
      </c>
      <c r="S147" t="s">
        <v>463</v>
      </c>
      <c r="T147" t="s">
        <v>850</v>
      </c>
      <c r="U147" t="s">
        <v>851</v>
      </c>
      <c r="V147" t="s">
        <v>458</v>
      </c>
      <c r="W147" t="s">
        <v>863</v>
      </c>
      <c r="X147" t="s">
        <v>864</v>
      </c>
      <c r="Y147" t="s">
        <v>477</v>
      </c>
      <c r="AG147" s="1" t="s">
        <v>403</v>
      </c>
    </row>
    <row r="148" spans="2:33" x14ac:dyDescent="0.2">
      <c r="B148">
        <f>ID编号[id编号]*10000+ROW()-6</f>
        <v>1040142</v>
      </c>
      <c r="C148" s="1" t="s">
        <v>614</v>
      </c>
      <c r="D148">
        <v>5</v>
      </c>
      <c r="E148">
        <v>16</v>
      </c>
      <c r="G148" s="14" t="s">
        <v>622</v>
      </c>
      <c r="H148" s="14" t="s">
        <v>622</v>
      </c>
      <c r="I148" s="14" t="s">
        <v>622</v>
      </c>
      <c r="J148" s="14" t="s">
        <v>622</v>
      </c>
      <c r="K148" s="14" t="s">
        <v>622</v>
      </c>
      <c r="L148" s="14" t="s">
        <v>622</v>
      </c>
      <c r="M148" s="14" t="s">
        <v>622</v>
      </c>
      <c r="N148" s="14" t="s">
        <v>622</v>
      </c>
      <c r="O148" s="14" t="s">
        <v>670</v>
      </c>
      <c r="P148" s="14" t="s">
        <v>671</v>
      </c>
      <c r="Q148" t="s">
        <v>1046</v>
      </c>
      <c r="R148" t="s">
        <v>1043</v>
      </c>
      <c r="S148" t="s">
        <v>463</v>
      </c>
      <c r="T148" t="s">
        <v>852</v>
      </c>
      <c r="U148" t="s">
        <v>751</v>
      </c>
      <c r="V148" t="s">
        <v>460</v>
      </c>
      <c r="W148" t="s">
        <v>865</v>
      </c>
      <c r="X148" t="s">
        <v>866</v>
      </c>
      <c r="Y148" t="s">
        <v>477</v>
      </c>
      <c r="AG148" s="1" t="s">
        <v>404</v>
      </c>
    </row>
    <row r="153" spans="2:33" x14ac:dyDescent="0.2">
      <c r="J153" s="11"/>
      <c r="K153" s="11"/>
      <c r="L153" s="12"/>
      <c r="M153" s="12"/>
      <c r="N153" s="11"/>
      <c r="O153" s="11"/>
    </row>
    <row r="154" spans="2:33" x14ac:dyDescent="0.2">
      <c r="J154" s="11"/>
      <c r="K154" s="11"/>
      <c r="L154" s="12"/>
      <c r="M154" s="12"/>
      <c r="N154" s="11"/>
      <c r="O154" s="11"/>
    </row>
    <row r="155" spans="2:33" x14ac:dyDescent="0.2">
      <c r="J155" s="11"/>
      <c r="K155" s="11"/>
      <c r="L155" s="12"/>
      <c r="M155" s="12"/>
      <c r="N155" s="11"/>
      <c r="O155" s="11"/>
    </row>
    <row r="156" spans="2:33" x14ac:dyDescent="0.2">
      <c r="J156" s="11"/>
      <c r="K156" s="11"/>
      <c r="L156" s="12"/>
      <c r="M156" s="12"/>
      <c r="N156" s="11"/>
      <c r="O156" s="11"/>
    </row>
    <row r="157" spans="2:33" x14ac:dyDescent="0.2">
      <c r="J157" s="11"/>
      <c r="K157" s="11"/>
      <c r="L157" s="12"/>
      <c r="M157" s="12"/>
      <c r="N157" s="11"/>
      <c r="O157" s="11"/>
    </row>
  </sheetData>
  <phoneticPr fontId="1"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FB5-5774-4220-979D-AC0E623F6B13}">
  <sheetPr codeName="Sheet3"/>
  <dimension ref="A1:AE144"/>
  <sheetViews>
    <sheetView topLeftCell="I97" workbookViewId="0">
      <selection activeCell="U113" sqref="U113:AB117"/>
    </sheetView>
  </sheetViews>
  <sheetFormatPr defaultRowHeight="14.25" x14ac:dyDescent="0.2"/>
  <sheetData>
    <row r="1" spans="1:31" x14ac:dyDescent="0.2">
      <c r="A1" s="1" t="s">
        <v>8</v>
      </c>
      <c r="B1" s="1" t="s">
        <v>9</v>
      </c>
      <c r="C1" t="s">
        <v>19</v>
      </c>
      <c r="D1" t="s">
        <v>23</v>
      </c>
      <c r="E1" t="s">
        <v>40</v>
      </c>
      <c r="F1" s="13" t="s">
        <v>564</v>
      </c>
      <c r="G1" s="13" t="s">
        <v>565</v>
      </c>
      <c r="H1" s="13" t="s">
        <v>566</v>
      </c>
      <c r="I1" s="13" t="s">
        <v>567</v>
      </c>
      <c r="J1" s="13" t="s">
        <v>568</v>
      </c>
      <c r="K1" s="13" t="s">
        <v>569</v>
      </c>
      <c r="L1" s="13" t="s">
        <v>570</v>
      </c>
      <c r="M1" s="13" t="s">
        <v>571</v>
      </c>
      <c r="N1" s="13" t="s">
        <v>572</v>
      </c>
      <c r="O1" s="13" t="s">
        <v>573</v>
      </c>
      <c r="P1" t="s">
        <v>140</v>
      </c>
      <c r="Q1" t="s">
        <v>673</v>
      </c>
      <c r="R1" t="s">
        <v>254</v>
      </c>
      <c r="S1" t="s">
        <v>144</v>
      </c>
      <c r="T1" t="s">
        <v>674</v>
      </c>
      <c r="U1" t="s">
        <v>255</v>
      </c>
      <c r="V1" t="s">
        <v>182</v>
      </c>
      <c r="W1" t="s">
        <v>675</v>
      </c>
      <c r="X1" t="s">
        <v>256</v>
      </c>
      <c r="Y1" t="s">
        <v>33</v>
      </c>
      <c r="Z1" t="s">
        <v>36</v>
      </c>
      <c r="AA1" t="s">
        <v>37</v>
      </c>
      <c r="AB1" t="s">
        <v>28</v>
      </c>
      <c r="AC1" t="s">
        <v>29</v>
      </c>
      <c r="AD1" t="s">
        <v>27</v>
      </c>
      <c r="AE1" t="s">
        <v>20</v>
      </c>
    </row>
    <row r="2" spans="1:31" x14ac:dyDescent="0.2">
      <c r="A2" s="1" t="s">
        <v>6</v>
      </c>
      <c r="B2" s="1" t="s">
        <v>12</v>
      </c>
      <c r="C2" s="1" t="s">
        <v>13</v>
      </c>
      <c r="D2" s="1" t="s">
        <v>13</v>
      </c>
      <c r="E2" s="1" t="s">
        <v>13</v>
      </c>
      <c r="F2" s="1" t="s">
        <v>31</v>
      </c>
      <c r="G2" s="1" t="s">
        <v>31</v>
      </c>
      <c r="H2" s="1" t="s">
        <v>31</v>
      </c>
      <c r="I2" s="1" t="s">
        <v>31</v>
      </c>
      <c r="J2" s="1" t="s">
        <v>31</v>
      </c>
      <c r="K2" s="1" t="s">
        <v>31</v>
      </c>
      <c r="L2" s="1" t="s">
        <v>31</v>
      </c>
      <c r="M2" s="1" t="s">
        <v>31</v>
      </c>
      <c r="N2" s="1" t="s">
        <v>31</v>
      </c>
      <c r="O2" s="1" t="s">
        <v>31</v>
      </c>
      <c r="P2" s="1" t="s">
        <v>31</v>
      </c>
      <c r="Q2" s="1" t="s">
        <v>31</v>
      </c>
      <c r="R2" s="1" t="s">
        <v>31</v>
      </c>
      <c r="S2" s="1" t="s">
        <v>31</v>
      </c>
      <c r="T2" s="1" t="s">
        <v>31</v>
      </c>
      <c r="U2" s="1" t="s">
        <v>31</v>
      </c>
      <c r="V2" s="1" t="s">
        <v>31</v>
      </c>
      <c r="W2" s="1" t="s">
        <v>31</v>
      </c>
      <c r="X2" s="1" t="s">
        <v>31</v>
      </c>
      <c r="Y2" s="1" t="s">
        <v>31</v>
      </c>
      <c r="Z2" s="1" t="s">
        <v>13</v>
      </c>
      <c r="AA2" s="1" t="s">
        <v>13</v>
      </c>
      <c r="AB2" s="1" t="s">
        <v>13</v>
      </c>
      <c r="AC2" s="1" t="s">
        <v>30</v>
      </c>
      <c r="AD2" s="1" t="s">
        <v>13</v>
      </c>
      <c r="AE2" s="1" t="s">
        <v>18</v>
      </c>
    </row>
    <row r="3" spans="1:31" x14ac:dyDescent="0.2">
      <c r="A3">
        <v>1040001</v>
      </c>
      <c r="B3" t="s">
        <v>41</v>
      </c>
      <c r="C3">
        <v>0</v>
      </c>
      <c r="D3">
        <v>1</v>
      </c>
      <c r="E3">
        <v>0</v>
      </c>
      <c r="F3" t="s">
        <v>621</v>
      </c>
      <c r="H3" t="s">
        <v>622</v>
      </c>
      <c r="I3" t="s">
        <v>622</v>
      </c>
      <c r="J3" t="s">
        <v>622</v>
      </c>
      <c r="K3" t="s">
        <v>622</v>
      </c>
      <c r="L3" t="s">
        <v>622</v>
      </c>
      <c r="M3" t="s">
        <v>622</v>
      </c>
      <c r="N3" t="s">
        <v>622</v>
      </c>
      <c r="O3" t="s">
        <v>622</v>
      </c>
      <c r="P3" t="s">
        <v>893</v>
      </c>
      <c r="Q3" t="s">
        <v>679</v>
      </c>
      <c r="R3" t="s">
        <v>478</v>
      </c>
      <c r="AE3" t="s">
        <v>562</v>
      </c>
    </row>
    <row r="4" spans="1:31" x14ac:dyDescent="0.2">
      <c r="A4" s="1">
        <v>1040002</v>
      </c>
      <c r="B4" t="s">
        <v>42</v>
      </c>
      <c r="C4">
        <v>0</v>
      </c>
      <c r="D4">
        <v>4</v>
      </c>
      <c r="E4">
        <v>1</v>
      </c>
      <c r="F4" t="s">
        <v>622</v>
      </c>
      <c r="G4" t="s">
        <v>621</v>
      </c>
      <c r="H4" t="s">
        <v>622</v>
      </c>
      <c r="I4" t="s">
        <v>622</v>
      </c>
      <c r="J4" t="s">
        <v>622</v>
      </c>
      <c r="K4" t="s">
        <v>622</v>
      </c>
      <c r="L4" t="s">
        <v>622</v>
      </c>
      <c r="M4" t="s">
        <v>622</v>
      </c>
      <c r="N4" t="s">
        <v>622</v>
      </c>
      <c r="O4" t="s">
        <v>622</v>
      </c>
      <c r="P4" t="s">
        <v>894</v>
      </c>
      <c r="Q4" t="s">
        <v>680</v>
      </c>
      <c r="R4" t="s">
        <v>225</v>
      </c>
      <c r="AE4" t="s">
        <v>297</v>
      </c>
    </row>
    <row r="5" spans="1:31" x14ac:dyDescent="0.2">
      <c r="A5" s="1">
        <v>1040003</v>
      </c>
      <c r="B5" t="s">
        <v>43</v>
      </c>
      <c r="C5">
        <v>0</v>
      </c>
      <c r="D5">
        <v>9</v>
      </c>
      <c r="E5">
        <v>0</v>
      </c>
      <c r="F5" t="s">
        <v>621</v>
      </c>
      <c r="G5" t="s">
        <v>622</v>
      </c>
      <c r="H5" t="s">
        <v>622</v>
      </c>
      <c r="I5" t="s">
        <v>622</v>
      </c>
      <c r="J5" t="s">
        <v>622</v>
      </c>
      <c r="K5" t="s">
        <v>622</v>
      </c>
      <c r="L5" t="s">
        <v>622</v>
      </c>
      <c r="M5" t="s">
        <v>622</v>
      </c>
      <c r="N5" t="s">
        <v>622</v>
      </c>
      <c r="O5" t="s">
        <v>622</v>
      </c>
      <c r="P5" t="s">
        <v>893</v>
      </c>
      <c r="Q5" t="s">
        <v>679</v>
      </c>
      <c r="R5" t="s">
        <v>478</v>
      </c>
      <c r="AE5" t="s">
        <v>298</v>
      </c>
    </row>
    <row r="6" spans="1:31" x14ac:dyDescent="0.2">
      <c r="A6" s="1">
        <v>1040004</v>
      </c>
      <c r="B6" t="s">
        <v>44</v>
      </c>
      <c r="C6">
        <v>0</v>
      </c>
      <c r="D6">
        <v>11</v>
      </c>
      <c r="E6">
        <v>1</v>
      </c>
      <c r="F6" t="s">
        <v>622</v>
      </c>
      <c r="G6" t="s">
        <v>621</v>
      </c>
      <c r="H6" t="s">
        <v>622</v>
      </c>
      <c r="I6" t="s">
        <v>622</v>
      </c>
      <c r="J6" t="s">
        <v>622</v>
      </c>
      <c r="K6" t="s">
        <v>622</v>
      </c>
      <c r="L6" t="s">
        <v>622</v>
      </c>
      <c r="M6" t="s">
        <v>622</v>
      </c>
      <c r="N6" t="s">
        <v>622</v>
      </c>
      <c r="O6" t="s">
        <v>622</v>
      </c>
      <c r="P6" t="s">
        <v>894</v>
      </c>
      <c r="Q6" t="s">
        <v>680</v>
      </c>
      <c r="R6" t="s">
        <v>225</v>
      </c>
      <c r="AE6" t="s">
        <v>299</v>
      </c>
    </row>
    <row r="7" spans="1:31" x14ac:dyDescent="0.2">
      <c r="A7" s="1">
        <v>1040005</v>
      </c>
      <c r="B7" t="s">
        <v>45</v>
      </c>
      <c r="C7">
        <v>0</v>
      </c>
      <c r="D7">
        <v>13</v>
      </c>
      <c r="F7" t="s">
        <v>622</v>
      </c>
      <c r="G7" t="s">
        <v>622</v>
      </c>
      <c r="H7" t="s">
        <v>622</v>
      </c>
      <c r="I7" t="s">
        <v>622</v>
      </c>
      <c r="J7" t="s">
        <v>623</v>
      </c>
      <c r="K7" t="s">
        <v>623</v>
      </c>
      <c r="L7" t="s">
        <v>622</v>
      </c>
      <c r="M7" t="s">
        <v>622</v>
      </c>
      <c r="N7" t="s">
        <v>624</v>
      </c>
      <c r="O7" t="s">
        <v>622</v>
      </c>
      <c r="P7" t="s">
        <v>687</v>
      </c>
      <c r="Q7" t="s">
        <v>681</v>
      </c>
      <c r="R7" t="s">
        <v>237</v>
      </c>
      <c r="AE7" t="s">
        <v>302</v>
      </c>
    </row>
    <row r="8" spans="1:31" x14ac:dyDescent="0.2">
      <c r="A8" s="1">
        <v>1040006</v>
      </c>
      <c r="B8" t="s">
        <v>46</v>
      </c>
      <c r="C8">
        <v>0</v>
      </c>
      <c r="D8">
        <v>14</v>
      </c>
      <c r="F8" t="s">
        <v>622</v>
      </c>
      <c r="G8" t="s">
        <v>622</v>
      </c>
      <c r="H8" t="s">
        <v>623</v>
      </c>
      <c r="I8" t="s">
        <v>623</v>
      </c>
      <c r="J8" t="s">
        <v>622</v>
      </c>
      <c r="K8" t="s">
        <v>622</v>
      </c>
      <c r="L8" t="s">
        <v>625</v>
      </c>
      <c r="M8" t="s">
        <v>625</v>
      </c>
      <c r="N8" t="s">
        <v>622</v>
      </c>
      <c r="O8" t="s">
        <v>622</v>
      </c>
      <c r="P8" t="s">
        <v>687</v>
      </c>
      <c r="Q8" t="s">
        <v>681</v>
      </c>
      <c r="R8" t="s">
        <v>237</v>
      </c>
      <c r="AE8" t="s">
        <v>302</v>
      </c>
    </row>
    <row r="9" spans="1:31" x14ac:dyDescent="0.2">
      <c r="A9" s="1">
        <v>1040007</v>
      </c>
      <c r="B9" t="s">
        <v>47</v>
      </c>
      <c r="C9">
        <v>0</v>
      </c>
      <c r="D9">
        <v>15</v>
      </c>
      <c r="F9" t="s">
        <v>622</v>
      </c>
      <c r="G9" t="s">
        <v>622</v>
      </c>
      <c r="H9" t="s">
        <v>623</v>
      </c>
      <c r="I9" t="s">
        <v>623</v>
      </c>
      <c r="J9" t="s">
        <v>622</v>
      </c>
      <c r="K9" t="s">
        <v>622</v>
      </c>
      <c r="L9" t="s">
        <v>625</v>
      </c>
      <c r="M9" t="s">
        <v>625</v>
      </c>
      <c r="N9" t="s">
        <v>622</v>
      </c>
      <c r="O9" t="s">
        <v>622</v>
      </c>
      <c r="P9" t="s">
        <v>687</v>
      </c>
      <c r="Q9" t="s">
        <v>681</v>
      </c>
      <c r="R9" t="s">
        <v>237</v>
      </c>
      <c r="AE9" t="s">
        <v>302</v>
      </c>
    </row>
    <row r="10" spans="1:31" x14ac:dyDescent="0.2">
      <c r="A10" s="1">
        <v>1040008</v>
      </c>
      <c r="B10" t="s">
        <v>48</v>
      </c>
      <c r="C10">
        <v>0</v>
      </c>
      <c r="D10">
        <v>16</v>
      </c>
      <c r="F10" t="s">
        <v>622</v>
      </c>
      <c r="G10" t="s">
        <v>622</v>
      </c>
      <c r="H10" t="s">
        <v>622</v>
      </c>
      <c r="I10" t="s">
        <v>622</v>
      </c>
      <c r="J10" t="s">
        <v>622</v>
      </c>
      <c r="K10" t="s">
        <v>622</v>
      </c>
      <c r="L10" t="s">
        <v>622</v>
      </c>
      <c r="M10" t="s">
        <v>622</v>
      </c>
      <c r="N10" t="s">
        <v>624</v>
      </c>
      <c r="O10" t="s">
        <v>623</v>
      </c>
      <c r="P10" t="s">
        <v>687</v>
      </c>
      <c r="Q10" t="s">
        <v>681</v>
      </c>
      <c r="R10" t="s">
        <v>237</v>
      </c>
      <c r="AE10" t="s">
        <v>302</v>
      </c>
    </row>
    <row r="11" spans="1:31" x14ac:dyDescent="0.2">
      <c r="A11" s="1">
        <v>1040009</v>
      </c>
      <c r="B11" t="s">
        <v>49</v>
      </c>
      <c r="C11">
        <v>1</v>
      </c>
      <c r="D11">
        <v>3</v>
      </c>
      <c r="E11">
        <v>0</v>
      </c>
      <c r="F11" t="s">
        <v>621</v>
      </c>
      <c r="G11" t="s">
        <v>622</v>
      </c>
      <c r="H11" t="s">
        <v>622</v>
      </c>
      <c r="I11" t="s">
        <v>622</v>
      </c>
      <c r="J11" t="s">
        <v>622</v>
      </c>
      <c r="K11" t="s">
        <v>622</v>
      </c>
      <c r="L11" t="s">
        <v>622</v>
      </c>
      <c r="M11" t="s">
        <v>622</v>
      </c>
      <c r="N11" t="s">
        <v>622</v>
      </c>
      <c r="O11" t="s">
        <v>622</v>
      </c>
      <c r="P11" t="s">
        <v>895</v>
      </c>
      <c r="Q11" t="s">
        <v>679</v>
      </c>
      <c r="R11" t="s">
        <v>479</v>
      </c>
      <c r="AE11" t="s">
        <v>303</v>
      </c>
    </row>
    <row r="12" spans="1:31" x14ac:dyDescent="0.2">
      <c r="A12" s="1">
        <v>1040010</v>
      </c>
      <c r="B12" t="s">
        <v>50</v>
      </c>
      <c r="C12">
        <v>1</v>
      </c>
      <c r="D12">
        <v>7</v>
      </c>
      <c r="E12">
        <v>0</v>
      </c>
      <c r="F12" t="s">
        <v>621</v>
      </c>
      <c r="G12" t="s">
        <v>622</v>
      </c>
      <c r="H12" t="s">
        <v>622</v>
      </c>
      <c r="I12" t="s">
        <v>622</v>
      </c>
      <c r="J12" t="s">
        <v>622</v>
      </c>
      <c r="K12" t="s">
        <v>622</v>
      </c>
      <c r="L12" t="s">
        <v>622</v>
      </c>
      <c r="M12" t="s">
        <v>622</v>
      </c>
      <c r="N12" t="s">
        <v>622</v>
      </c>
      <c r="O12" t="s">
        <v>622</v>
      </c>
      <c r="P12" t="s">
        <v>896</v>
      </c>
      <c r="Q12" t="s">
        <v>680</v>
      </c>
      <c r="R12" t="s">
        <v>226</v>
      </c>
      <c r="AE12" t="s">
        <v>304</v>
      </c>
    </row>
    <row r="13" spans="1:31" x14ac:dyDescent="0.2">
      <c r="A13" s="1">
        <v>1040011</v>
      </c>
      <c r="B13" t="s">
        <v>51</v>
      </c>
      <c r="C13">
        <v>1</v>
      </c>
      <c r="D13">
        <v>6</v>
      </c>
      <c r="E13">
        <v>1</v>
      </c>
      <c r="F13" t="s">
        <v>622</v>
      </c>
      <c r="G13" t="s">
        <v>621</v>
      </c>
      <c r="H13" t="s">
        <v>622</v>
      </c>
      <c r="I13" t="s">
        <v>622</v>
      </c>
      <c r="J13" t="s">
        <v>622</v>
      </c>
      <c r="K13" t="s">
        <v>622</v>
      </c>
      <c r="L13" t="s">
        <v>622</v>
      </c>
      <c r="M13" t="s">
        <v>622</v>
      </c>
      <c r="N13" t="s">
        <v>622</v>
      </c>
      <c r="O13" t="s">
        <v>622</v>
      </c>
      <c r="P13" t="s">
        <v>895</v>
      </c>
      <c r="Q13" t="s">
        <v>679</v>
      </c>
      <c r="R13" t="s">
        <v>479</v>
      </c>
      <c r="AE13" t="s">
        <v>305</v>
      </c>
    </row>
    <row r="14" spans="1:31" x14ac:dyDescent="0.2">
      <c r="A14" s="1">
        <v>1040012</v>
      </c>
      <c r="B14" t="s">
        <v>52</v>
      </c>
      <c r="C14">
        <v>1</v>
      </c>
      <c r="D14">
        <v>9</v>
      </c>
      <c r="E14">
        <v>0</v>
      </c>
      <c r="F14" t="s">
        <v>621</v>
      </c>
      <c r="G14" t="s">
        <v>622</v>
      </c>
      <c r="H14" t="s">
        <v>622</v>
      </c>
      <c r="I14" t="s">
        <v>622</v>
      </c>
      <c r="J14" t="s">
        <v>622</v>
      </c>
      <c r="K14" t="s">
        <v>622</v>
      </c>
      <c r="L14" t="s">
        <v>622</v>
      </c>
      <c r="M14" t="s">
        <v>622</v>
      </c>
      <c r="N14" t="s">
        <v>622</v>
      </c>
      <c r="O14" t="s">
        <v>622</v>
      </c>
      <c r="P14" t="s">
        <v>896</v>
      </c>
      <c r="Q14" t="s">
        <v>680</v>
      </c>
      <c r="R14" t="s">
        <v>226</v>
      </c>
      <c r="AE14" t="s">
        <v>306</v>
      </c>
    </row>
    <row r="15" spans="1:31" x14ac:dyDescent="0.2">
      <c r="A15" s="1">
        <v>1040013</v>
      </c>
      <c r="B15" t="s">
        <v>53</v>
      </c>
      <c r="C15">
        <v>1</v>
      </c>
      <c r="D15">
        <v>10</v>
      </c>
      <c r="E15">
        <v>0</v>
      </c>
      <c r="F15" t="s">
        <v>626</v>
      </c>
      <c r="G15" t="s">
        <v>622</v>
      </c>
      <c r="H15" t="s">
        <v>622</v>
      </c>
      <c r="I15" t="s">
        <v>622</v>
      </c>
      <c r="J15" t="s">
        <v>622</v>
      </c>
      <c r="K15" t="s">
        <v>622</v>
      </c>
      <c r="L15" t="s">
        <v>622</v>
      </c>
      <c r="M15" t="s">
        <v>622</v>
      </c>
      <c r="N15" t="s">
        <v>622</v>
      </c>
      <c r="O15" t="s">
        <v>622</v>
      </c>
      <c r="P15" t="s">
        <v>897</v>
      </c>
      <c r="Q15" t="s">
        <v>679</v>
      </c>
      <c r="R15" t="s">
        <v>480</v>
      </c>
      <c r="AE15" t="s">
        <v>307</v>
      </c>
    </row>
    <row r="16" spans="1:31" x14ac:dyDescent="0.2">
      <c r="A16" s="1">
        <v>1040014</v>
      </c>
      <c r="B16" t="s">
        <v>54</v>
      </c>
      <c r="C16">
        <v>1</v>
      </c>
      <c r="D16">
        <v>11</v>
      </c>
      <c r="E16">
        <v>1</v>
      </c>
      <c r="F16" t="s">
        <v>622</v>
      </c>
      <c r="G16" t="s">
        <v>621</v>
      </c>
      <c r="H16" t="s">
        <v>622</v>
      </c>
      <c r="I16" t="s">
        <v>622</v>
      </c>
      <c r="J16" t="s">
        <v>622</v>
      </c>
      <c r="K16" t="s">
        <v>622</v>
      </c>
      <c r="L16" t="s">
        <v>622</v>
      </c>
      <c r="M16" t="s">
        <v>622</v>
      </c>
      <c r="N16" t="s">
        <v>622</v>
      </c>
      <c r="O16" t="s">
        <v>622</v>
      </c>
      <c r="P16" t="s">
        <v>898</v>
      </c>
      <c r="Q16" t="s">
        <v>680</v>
      </c>
      <c r="R16" t="s">
        <v>225</v>
      </c>
      <c r="AE16" t="s">
        <v>308</v>
      </c>
    </row>
    <row r="17" spans="1:31" x14ac:dyDescent="0.2">
      <c r="A17" s="1">
        <v>1040015</v>
      </c>
      <c r="B17" t="s">
        <v>55</v>
      </c>
      <c r="C17">
        <v>1</v>
      </c>
      <c r="D17">
        <v>12</v>
      </c>
      <c r="E17">
        <v>1</v>
      </c>
      <c r="F17" t="s">
        <v>622</v>
      </c>
      <c r="G17" t="s">
        <v>626</v>
      </c>
      <c r="H17" t="s">
        <v>622</v>
      </c>
      <c r="I17" t="s">
        <v>622</v>
      </c>
      <c r="J17" t="s">
        <v>622</v>
      </c>
      <c r="K17" t="s">
        <v>622</v>
      </c>
      <c r="L17" t="s">
        <v>622</v>
      </c>
      <c r="M17" t="s">
        <v>622</v>
      </c>
      <c r="N17" t="s">
        <v>622</v>
      </c>
      <c r="O17" t="s">
        <v>622</v>
      </c>
      <c r="P17" t="s">
        <v>897</v>
      </c>
      <c r="Q17" t="s">
        <v>679</v>
      </c>
      <c r="R17" t="s">
        <v>480</v>
      </c>
      <c r="AE17" t="s">
        <v>309</v>
      </c>
    </row>
    <row r="18" spans="1:31" x14ac:dyDescent="0.2">
      <c r="A18" s="1">
        <v>1040016</v>
      </c>
      <c r="B18" t="s">
        <v>56</v>
      </c>
      <c r="C18">
        <v>1</v>
      </c>
      <c r="D18">
        <v>13</v>
      </c>
      <c r="F18" t="s">
        <v>622</v>
      </c>
      <c r="G18" t="s">
        <v>622</v>
      </c>
      <c r="H18" t="s">
        <v>622</v>
      </c>
      <c r="I18" t="s">
        <v>622</v>
      </c>
      <c r="J18" t="s">
        <v>623</v>
      </c>
      <c r="K18" t="s">
        <v>623</v>
      </c>
      <c r="L18" t="s">
        <v>622</v>
      </c>
      <c r="M18" t="s">
        <v>622</v>
      </c>
      <c r="N18" t="s">
        <v>624</v>
      </c>
      <c r="O18" t="s">
        <v>622</v>
      </c>
      <c r="P18" t="s">
        <v>899</v>
      </c>
      <c r="Q18" t="s">
        <v>682</v>
      </c>
      <c r="R18" t="s">
        <v>238</v>
      </c>
      <c r="AE18" t="s">
        <v>310</v>
      </c>
    </row>
    <row r="19" spans="1:31" x14ac:dyDescent="0.2">
      <c r="A19" s="1">
        <v>1040017</v>
      </c>
      <c r="B19" t="s">
        <v>617</v>
      </c>
      <c r="C19">
        <v>1</v>
      </c>
      <c r="D19">
        <v>14</v>
      </c>
      <c r="F19" t="s">
        <v>622</v>
      </c>
      <c r="G19" t="s">
        <v>622</v>
      </c>
      <c r="H19" t="s">
        <v>623</v>
      </c>
      <c r="I19" t="s">
        <v>623</v>
      </c>
      <c r="J19" t="s">
        <v>622</v>
      </c>
      <c r="K19" t="s">
        <v>622</v>
      </c>
      <c r="L19" t="s">
        <v>625</v>
      </c>
      <c r="M19" t="s">
        <v>625</v>
      </c>
      <c r="N19" t="s">
        <v>622</v>
      </c>
      <c r="O19" t="s">
        <v>622</v>
      </c>
      <c r="P19" t="s">
        <v>899</v>
      </c>
      <c r="Q19" t="s">
        <v>682</v>
      </c>
      <c r="R19" t="s">
        <v>238</v>
      </c>
      <c r="AE19" t="s">
        <v>310</v>
      </c>
    </row>
    <row r="20" spans="1:31" x14ac:dyDescent="0.2">
      <c r="A20" s="1">
        <v>1040018</v>
      </c>
      <c r="B20" t="s">
        <v>619</v>
      </c>
      <c r="C20">
        <v>1</v>
      </c>
      <c r="D20">
        <v>15</v>
      </c>
      <c r="F20" t="s">
        <v>622</v>
      </c>
      <c r="G20" t="s">
        <v>622</v>
      </c>
      <c r="H20" t="s">
        <v>623</v>
      </c>
      <c r="I20" t="s">
        <v>623</v>
      </c>
      <c r="J20" t="s">
        <v>622</v>
      </c>
      <c r="K20" t="s">
        <v>622</v>
      </c>
      <c r="L20" t="s">
        <v>625</v>
      </c>
      <c r="M20" t="s">
        <v>625</v>
      </c>
      <c r="N20" t="s">
        <v>622</v>
      </c>
      <c r="O20" t="s">
        <v>622</v>
      </c>
      <c r="P20" t="s">
        <v>899</v>
      </c>
      <c r="Q20" t="s">
        <v>682</v>
      </c>
      <c r="R20" t="s">
        <v>238</v>
      </c>
      <c r="AE20" t="s">
        <v>310</v>
      </c>
    </row>
    <row r="21" spans="1:31" x14ac:dyDescent="0.2">
      <c r="A21" s="1">
        <v>1040019</v>
      </c>
      <c r="B21" t="s">
        <v>57</v>
      </c>
      <c r="C21">
        <v>1</v>
      </c>
      <c r="D21">
        <v>16</v>
      </c>
      <c r="F21" t="s">
        <v>622</v>
      </c>
      <c r="G21" t="s">
        <v>622</v>
      </c>
      <c r="H21" t="s">
        <v>622</v>
      </c>
      <c r="I21" t="s">
        <v>622</v>
      </c>
      <c r="J21" t="s">
        <v>622</v>
      </c>
      <c r="K21" t="s">
        <v>622</v>
      </c>
      <c r="L21" t="s">
        <v>622</v>
      </c>
      <c r="M21" t="s">
        <v>622</v>
      </c>
      <c r="N21" t="s">
        <v>624</v>
      </c>
      <c r="O21" t="s">
        <v>623</v>
      </c>
      <c r="P21" t="s">
        <v>899</v>
      </c>
      <c r="Q21" t="s">
        <v>682</v>
      </c>
      <c r="R21" t="s">
        <v>238</v>
      </c>
      <c r="AE21" t="s">
        <v>310</v>
      </c>
    </row>
    <row r="22" spans="1:31" x14ac:dyDescent="0.2">
      <c r="A22" s="1">
        <v>1040020</v>
      </c>
      <c r="B22" t="s">
        <v>59</v>
      </c>
      <c r="C22">
        <v>2</v>
      </c>
      <c r="D22">
        <v>4</v>
      </c>
      <c r="E22">
        <v>0</v>
      </c>
      <c r="F22" t="s">
        <v>627</v>
      </c>
      <c r="G22" t="s">
        <v>622</v>
      </c>
      <c r="H22" t="s">
        <v>622</v>
      </c>
      <c r="I22" t="s">
        <v>622</v>
      </c>
      <c r="J22" t="s">
        <v>622</v>
      </c>
      <c r="K22" t="s">
        <v>622</v>
      </c>
      <c r="L22" t="s">
        <v>622</v>
      </c>
      <c r="M22" t="s">
        <v>622</v>
      </c>
      <c r="N22" t="s">
        <v>622</v>
      </c>
      <c r="O22" t="s">
        <v>622</v>
      </c>
      <c r="P22" t="s">
        <v>900</v>
      </c>
      <c r="Q22" t="s">
        <v>683</v>
      </c>
      <c r="R22" t="s">
        <v>481</v>
      </c>
      <c r="AE22" t="s">
        <v>311</v>
      </c>
    </row>
    <row r="23" spans="1:31" x14ac:dyDescent="0.2">
      <c r="A23" s="1">
        <v>1040021</v>
      </c>
      <c r="B23" t="s">
        <v>60</v>
      </c>
      <c r="C23">
        <v>2</v>
      </c>
      <c r="D23">
        <v>2</v>
      </c>
      <c r="E23">
        <v>1</v>
      </c>
      <c r="F23" t="s">
        <v>622</v>
      </c>
      <c r="G23" t="s">
        <v>627</v>
      </c>
      <c r="H23" t="s">
        <v>622</v>
      </c>
      <c r="I23" t="s">
        <v>622</v>
      </c>
      <c r="J23" t="s">
        <v>622</v>
      </c>
      <c r="K23" t="s">
        <v>622</v>
      </c>
      <c r="L23" t="s">
        <v>622</v>
      </c>
      <c r="M23" t="s">
        <v>622</v>
      </c>
      <c r="N23" t="s">
        <v>622</v>
      </c>
      <c r="O23" t="s">
        <v>622</v>
      </c>
      <c r="P23" t="s">
        <v>901</v>
      </c>
      <c r="Q23" t="s">
        <v>684</v>
      </c>
      <c r="R23" t="s">
        <v>482</v>
      </c>
      <c r="AE23" t="s">
        <v>312</v>
      </c>
    </row>
    <row r="24" spans="1:31" x14ac:dyDescent="0.2">
      <c r="A24" s="1">
        <v>1040022</v>
      </c>
      <c r="B24" t="s">
        <v>61</v>
      </c>
      <c r="C24">
        <v>2</v>
      </c>
      <c r="D24">
        <v>12</v>
      </c>
      <c r="E24">
        <v>1</v>
      </c>
      <c r="F24" t="s">
        <v>622</v>
      </c>
      <c r="G24" t="s">
        <v>627</v>
      </c>
      <c r="H24" t="s">
        <v>622</v>
      </c>
      <c r="I24" t="s">
        <v>622</v>
      </c>
      <c r="J24" t="s">
        <v>622</v>
      </c>
      <c r="K24" t="s">
        <v>622</v>
      </c>
      <c r="L24" t="s">
        <v>622</v>
      </c>
      <c r="M24" t="s">
        <v>622</v>
      </c>
      <c r="N24" t="s">
        <v>622</v>
      </c>
      <c r="O24" t="s">
        <v>622</v>
      </c>
      <c r="P24" t="s">
        <v>901</v>
      </c>
      <c r="Q24" t="s">
        <v>684</v>
      </c>
      <c r="R24" t="s">
        <v>482</v>
      </c>
      <c r="AE24" t="s">
        <v>313</v>
      </c>
    </row>
    <row r="25" spans="1:31" x14ac:dyDescent="0.2">
      <c r="A25" s="1">
        <v>1040023</v>
      </c>
      <c r="B25" t="s">
        <v>62</v>
      </c>
      <c r="C25">
        <v>2</v>
      </c>
      <c r="D25">
        <v>8</v>
      </c>
      <c r="E25">
        <v>0</v>
      </c>
      <c r="F25" t="s">
        <v>627</v>
      </c>
      <c r="G25" t="s">
        <v>622</v>
      </c>
      <c r="H25" t="s">
        <v>622</v>
      </c>
      <c r="I25" t="s">
        <v>622</v>
      </c>
      <c r="J25" t="s">
        <v>622</v>
      </c>
      <c r="K25" t="s">
        <v>622</v>
      </c>
      <c r="L25" t="s">
        <v>622</v>
      </c>
      <c r="M25" t="s">
        <v>622</v>
      </c>
      <c r="N25" t="s">
        <v>622</v>
      </c>
      <c r="O25" t="s">
        <v>622</v>
      </c>
      <c r="P25" t="s">
        <v>900</v>
      </c>
      <c r="Q25" t="s">
        <v>683</v>
      </c>
      <c r="R25" t="s">
        <v>481</v>
      </c>
      <c r="AE25" t="s">
        <v>314</v>
      </c>
    </row>
    <row r="26" spans="1:31" x14ac:dyDescent="0.2">
      <c r="A26" s="1">
        <v>1040024</v>
      </c>
      <c r="B26" t="s">
        <v>63</v>
      </c>
      <c r="C26">
        <v>2</v>
      </c>
      <c r="D26">
        <v>6</v>
      </c>
      <c r="E26">
        <v>0</v>
      </c>
      <c r="F26" t="s">
        <v>628</v>
      </c>
      <c r="G26" t="s">
        <v>622</v>
      </c>
      <c r="H26" t="s">
        <v>622</v>
      </c>
      <c r="I26" t="s">
        <v>622</v>
      </c>
      <c r="J26" t="s">
        <v>622</v>
      </c>
      <c r="K26" t="s">
        <v>622</v>
      </c>
      <c r="L26" t="s">
        <v>622</v>
      </c>
      <c r="M26" t="s">
        <v>622</v>
      </c>
      <c r="N26" t="s">
        <v>622</v>
      </c>
      <c r="O26" t="s">
        <v>622</v>
      </c>
      <c r="P26" t="s">
        <v>902</v>
      </c>
      <c r="Q26" t="s">
        <v>683</v>
      </c>
      <c r="R26" t="s">
        <v>483</v>
      </c>
      <c r="AE26" t="s">
        <v>315</v>
      </c>
    </row>
    <row r="27" spans="1:31" x14ac:dyDescent="0.2">
      <c r="A27" s="1">
        <v>1040025</v>
      </c>
      <c r="B27" t="s">
        <v>64</v>
      </c>
      <c r="C27">
        <v>2</v>
      </c>
      <c r="D27">
        <v>13</v>
      </c>
      <c r="F27" t="s">
        <v>622</v>
      </c>
      <c r="G27" t="s">
        <v>622</v>
      </c>
      <c r="H27" t="s">
        <v>622</v>
      </c>
      <c r="I27" t="s">
        <v>622</v>
      </c>
      <c r="J27" t="s">
        <v>629</v>
      </c>
      <c r="K27" t="s">
        <v>629</v>
      </c>
      <c r="L27" t="s">
        <v>622</v>
      </c>
      <c r="M27" t="s">
        <v>622</v>
      </c>
      <c r="N27" t="s">
        <v>630</v>
      </c>
      <c r="O27" t="s">
        <v>622</v>
      </c>
      <c r="Q27" t="s">
        <v>676</v>
      </c>
      <c r="R27" t="s">
        <v>888</v>
      </c>
      <c r="AE27" t="s">
        <v>316</v>
      </c>
    </row>
    <row r="28" spans="1:31" x14ac:dyDescent="0.2">
      <c r="A28" s="1">
        <v>1040026</v>
      </c>
      <c r="B28" t="s">
        <v>65</v>
      </c>
      <c r="C28">
        <v>2</v>
      </c>
      <c r="D28">
        <v>15</v>
      </c>
      <c r="F28" t="s">
        <v>622</v>
      </c>
      <c r="G28" t="s">
        <v>622</v>
      </c>
      <c r="H28" t="s">
        <v>629</v>
      </c>
      <c r="I28" t="s">
        <v>629</v>
      </c>
      <c r="J28" t="s">
        <v>622</v>
      </c>
      <c r="K28" t="s">
        <v>622</v>
      </c>
      <c r="L28" t="s">
        <v>631</v>
      </c>
      <c r="M28" t="s">
        <v>631</v>
      </c>
      <c r="N28" t="s">
        <v>622</v>
      </c>
      <c r="O28" t="s">
        <v>622</v>
      </c>
      <c r="Q28" t="s">
        <v>676</v>
      </c>
      <c r="R28" t="s">
        <v>888</v>
      </c>
      <c r="AE28" t="s">
        <v>317</v>
      </c>
    </row>
    <row r="29" spans="1:31" x14ac:dyDescent="0.2">
      <c r="A29" s="1">
        <v>1040027</v>
      </c>
      <c r="B29" t="s">
        <v>66</v>
      </c>
      <c r="C29">
        <v>2</v>
      </c>
      <c r="D29">
        <v>14</v>
      </c>
      <c r="F29" t="s">
        <v>622</v>
      </c>
      <c r="G29" t="s">
        <v>622</v>
      </c>
      <c r="H29" t="s">
        <v>629</v>
      </c>
      <c r="I29" t="s">
        <v>629</v>
      </c>
      <c r="J29" t="s">
        <v>622</v>
      </c>
      <c r="K29" t="s">
        <v>622</v>
      </c>
      <c r="L29" t="s">
        <v>631</v>
      </c>
      <c r="M29" t="s">
        <v>631</v>
      </c>
      <c r="N29" t="s">
        <v>622</v>
      </c>
      <c r="O29" t="s">
        <v>622</v>
      </c>
      <c r="Q29" t="s">
        <v>676</v>
      </c>
      <c r="R29" t="s">
        <v>888</v>
      </c>
      <c r="AE29" t="s">
        <v>317</v>
      </c>
    </row>
    <row r="30" spans="1:31" x14ac:dyDescent="0.2">
      <c r="A30" s="1">
        <v>1040028</v>
      </c>
      <c r="B30" t="s">
        <v>67</v>
      </c>
      <c r="C30">
        <v>2</v>
      </c>
      <c r="D30">
        <v>16</v>
      </c>
      <c r="F30" t="s">
        <v>622</v>
      </c>
      <c r="G30" t="s">
        <v>622</v>
      </c>
      <c r="H30" t="s">
        <v>622</v>
      </c>
      <c r="I30" t="s">
        <v>622</v>
      </c>
      <c r="J30" t="s">
        <v>622</v>
      </c>
      <c r="K30" t="s">
        <v>622</v>
      </c>
      <c r="L30" t="s">
        <v>622</v>
      </c>
      <c r="M30" t="s">
        <v>622</v>
      </c>
      <c r="N30" t="s">
        <v>630</v>
      </c>
      <c r="O30" t="s">
        <v>629</v>
      </c>
      <c r="Q30" t="s">
        <v>676</v>
      </c>
      <c r="R30" t="s">
        <v>888</v>
      </c>
      <c r="AE30" t="s">
        <v>318</v>
      </c>
    </row>
    <row r="31" spans="1:31" x14ac:dyDescent="0.2">
      <c r="A31" s="1">
        <v>1040029</v>
      </c>
      <c r="B31" t="s">
        <v>68</v>
      </c>
      <c r="C31">
        <v>2</v>
      </c>
      <c r="D31">
        <v>15</v>
      </c>
      <c r="F31" t="s">
        <v>622</v>
      </c>
      <c r="G31" t="s">
        <v>622</v>
      </c>
      <c r="H31" t="s">
        <v>632</v>
      </c>
      <c r="I31" t="s">
        <v>632</v>
      </c>
      <c r="J31" t="s">
        <v>622</v>
      </c>
      <c r="K31" t="s">
        <v>622</v>
      </c>
      <c r="L31" t="s">
        <v>633</v>
      </c>
      <c r="M31" t="s">
        <v>633</v>
      </c>
      <c r="N31" t="s">
        <v>622</v>
      </c>
      <c r="O31" t="s">
        <v>622</v>
      </c>
      <c r="P31" t="s">
        <v>903</v>
      </c>
      <c r="Q31" t="s">
        <v>698</v>
      </c>
      <c r="R31" t="s">
        <v>484</v>
      </c>
      <c r="AE31" t="s">
        <v>319</v>
      </c>
    </row>
    <row r="32" spans="1:31" x14ac:dyDescent="0.2">
      <c r="A32" s="1">
        <v>1040030</v>
      </c>
      <c r="B32" t="s">
        <v>70</v>
      </c>
      <c r="C32">
        <v>2</v>
      </c>
      <c r="D32">
        <v>7</v>
      </c>
      <c r="E32">
        <v>1</v>
      </c>
      <c r="F32" t="s">
        <v>634</v>
      </c>
      <c r="G32" t="s">
        <v>622</v>
      </c>
      <c r="H32" t="s">
        <v>622</v>
      </c>
      <c r="I32" t="s">
        <v>622</v>
      </c>
      <c r="J32" t="s">
        <v>622</v>
      </c>
      <c r="K32" t="s">
        <v>622</v>
      </c>
      <c r="L32" t="s">
        <v>622</v>
      </c>
      <c r="M32" t="s">
        <v>622</v>
      </c>
      <c r="N32" t="s">
        <v>622</v>
      </c>
      <c r="O32" t="s">
        <v>622</v>
      </c>
      <c r="P32" t="s">
        <v>904</v>
      </c>
      <c r="Q32" t="s">
        <v>699</v>
      </c>
      <c r="R32" t="s">
        <v>485</v>
      </c>
      <c r="AE32" t="s">
        <v>320</v>
      </c>
    </row>
    <row r="33" spans="1:31" x14ac:dyDescent="0.2">
      <c r="A33" s="1">
        <v>1040031</v>
      </c>
      <c r="B33" t="s">
        <v>79</v>
      </c>
      <c r="C33">
        <v>2</v>
      </c>
      <c r="D33">
        <v>11</v>
      </c>
      <c r="E33">
        <v>1</v>
      </c>
      <c r="F33" t="s">
        <v>622</v>
      </c>
      <c r="G33" t="s">
        <v>626</v>
      </c>
      <c r="H33" t="s">
        <v>622</v>
      </c>
      <c r="I33" t="s">
        <v>622</v>
      </c>
      <c r="J33" t="s">
        <v>622</v>
      </c>
      <c r="K33" t="s">
        <v>622</v>
      </c>
      <c r="L33" t="s">
        <v>622</v>
      </c>
      <c r="M33" t="s">
        <v>622</v>
      </c>
      <c r="N33" t="s">
        <v>622</v>
      </c>
      <c r="O33" t="s">
        <v>622</v>
      </c>
      <c r="P33" t="s">
        <v>905</v>
      </c>
      <c r="Q33" t="s">
        <v>680</v>
      </c>
      <c r="R33" t="s">
        <v>228</v>
      </c>
      <c r="AE33" t="s">
        <v>321</v>
      </c>
    </row>
    <row r="34" spans="1:31" x14ac:dyDescent="0.2">
      <c r="A34" s="1">
        <v>1040032</v>
      </c>
      <c r="B34" t="s">
        <v>84</v>
      </c>
      <c r="C34">
        <v>2</v>
      </c>
      <c r="D34">
        <v>6</v>
      </c>
      <c r="E34">
        <v>0</v>
      </c>
      <c r="F34" t="s">
        <v>626</v>
      </c>
      <c r="G34" t="s">
        <v>622</v>
      </c>
      <c r="H34" t="s">
        <v>622</v>
      </c>
      <c r="I34" t="s">
        <v>622</v>
      </c>
      <c r="J34" t="s">
        <v>622</v>
      </c>
      <c r="K34" t="s">
        <v>622</v>
      </c>
      <c r="L34" t="s">
        <v>622</v>
      </c>
      <c r="M34" t="s">
        <v>622</v>
      </c>
      <c r="N34" t="s">
        <v>622</v>
      </c>
      <c r="O34" t="s">
        <v>622</v>
      </c>
      <c r="P34" t="s">
        <v>906</v>
      </c>
      <c r="Q34" t="s">
        <v>679</v>
      </c>
      <c r="R34" t="s">
        <v>486</v>
      </c>
      <c r="AE34" t="s">
        <v>322</v>
      </c>
    </row>
    <row r="35" spans="1:31" x14ac:dyDescent="0.2">
      <c r="A35" s="1">
        <v>1040033</v>
      </c>
      <c r="B35" t="s">
        <v>85</v>
      </c>
      <c r="C35">
        <v>2</v>
      </c>
      <c r="D35">
        <v>16</v>
      </c>
      <c r="F35" t="s">
        <v>622</v>
      </c>
      <c r="G35" t="s">
        <v>622</v>
      </c>
      <c r="H35" t="s">
        <v>622</v>
      </c>
      <c r="I35" t="s">
        <v>622</v>
      </c>
      <c r="J35" t="s">
        <v>622</v>
      </c>
      <c r="K35" t="s">
        <v>622</v>
      </c>
      <c r="L35" t="s">
        <v>622</v>
      </c>
      <c r="M35" t="s">
        <v>622</v>
      </c>
      <c r="N35" t="s">
        <v>635</v>
      </c>
      <c r="O35" t="s">
        <v>632</v>
      </c>
      <c r="P35" t="s">
        <v>907</v>
      </c>
      <c r="Q35" t="s">
        <v>682</v>
      </c>
      <c r="R35" t="s">
        <v>487</v>
      </c>
      <c r="AE35" t="s">
        <v>323</v>
      </c>
    </row>
    <row r="36" spans="1:31" x14ac:dyDescent="0.2">
      <c r="A36" s="1">
        <v>1040034</v>
      </c>
      <c r="B36" t="s">
        <v>89</v>
      </c>
      <c r="C36">
        <v>2</v>
      </c>
      <c r="D36">
        <v>1</v>
      </c>
      <c r="E36">
        <v>1</v>
      </c>
      <c r="F36" t="s">
        <v>622</v>
      </c>
      <c r="G36" t="s">
        <v>627</v>
      </c>
      <c r="H36" t="s">
        <v>622</v>
      </c>
      <c r="I36" t="s">
        <v>622</v>
      </c>
      <c r="J36" t="s">
        <v>622</v>
      </c>
      <c r="K36" t="s">
        <v>622</v>
      </c>
      <c r="L36" t="s">
        <v>622</v>
      </c>
      <c r="M36" t="s">
        <v>622</v>
      </c>
      <c r="N36" t="s">
        <v>622</v>
      </c>
      <c r="O36" t="s">
        <v>622</v>
      </c>
      <c r="P36" t="s">
        <v>908</v>
      </c>
      <c r="Q36" t="s">
        <v>684</v>
      </c>
      <c r="R36" t="s">
        <v>488</v>
      </c>
      <c r="AE36" t="s">
        <v>324</v>
      </c>
    </row>
    <row r="37" spans="1:31" x14ac:dyDescent="0.2">
      <c r="A37" s="1">
        <v>1040035</v>
      </c>
      <c r="B37" t="s">
        <v>93</v>
      </c>
      <c r="C37">
        <v>2</v>
      </c>
      <c r="D37">
        <v>14</v>
      </c>
      <c r="F37" t="s">
        <v>622</v>
      </c>
      <c r="G37" t="s">
        <v>622</v>
      </c>
      <c r="H37" t="s">
        <v>623</v>
      </c>
      <c r="I37" t="s">
        <v>632</v>
      </c>
      <c r="J37" t="s">
        <v>622</v>
      </c>
      <c r="K37" t="s">
        <v>622</v>
      </c>
      <c r="L37" t="s">
        <v>625</v>
      </c>
      <c r="M37" t="s">
        <v>631</v>
      </c>
      <c r="N37" t="s">
        <v>622</v>
      </c>
      <c r="O37" t="s">
        <v>622</v>
      </c>
      <c r="P37" t="s">
        <v>489</v>
      </c>
      <c r="Q37" t="s">
        <v>945</v>
      </c>
      <c r="R37" t="s">
        <v>257</v>
      </c>
      <c r="AE37" t="s">
        <v>325</v>
      </c>
    </row>
    <row r="38" spans="1:31" x14ac:dyDescent="0.2">
      <c r="A38" s="1">
        <v>1040036</v>
      </c>
      <c r="B38" t="s">
        <v>94</v>
      </c>
      <c r="C38">
        <v>2</v>
      </c>
      <c r="D38">
        <v>3</v>
      </c>
      <c r="E38">
        <v>0</v>
      </c>
      <c r="F38" t="s">
        <v>627</v>
      </c>
      <c r="G38" t="s">
        <v>622</v>
      </c>
      <c r="H38" t="s">
        <v>622</v>
      </c>
      <c r="I38" t="s">
        <v>622</v>
      </c>
      <c r="J38" t="s">
        <v>622</v>
      </c>
      <c r="K38" t="s">
        <v>622</v>
      </c>
      <c r="L38" t="s">
        <v>622</v>
      </c>
      <c r="M38" t="s">
        <v>622</v>
      </c>
      <c r="N38" t="s">
        <v>622</v>
      </c>
      <c r="O38" t="s">
        <v>622</v>
      </c>
      <c r="P38" t="s">
        <v>909</v>
      </c>
      <c r="Q38" t="s">
        <v>683</v>
      </c>
      <c r="R38" t="s">
        <v>490</v>
      </c>
      <c r="AE38" t="s">
        <v>326</v>
      </c>
    </row>
    <row r="39" spans="1:31" x14ac:dyDescent="0.2">
      <c r="A39" s="1">
        <v>1040037</v>
      </c>
      <c r="B39" t="s">
        <v>97</v>
      </c>
      <c r="C39">
        <v>2</v>
      </c>
      <c r="D39">
        <v>13</v>
      </c>
      <c r="F39" t="s">
        <v>622</v>
      </c>
      <c r="G39" t="s">
        <v>622</v>
      </c>
      <c r="H39" t="s">
        <v>622</v>
      </c>
      <c r="I39" t="s">
        <v>622</v>
      </c>
      <c r="J39" t="s">
        <v>632</v>
      </c>
      <c r="K39" t="s">
        <v>632</v>
      </c>
      <c r="L39" t="s">
        <v>622</v>
      </c>
      <c r="M39" t="s">
        <v>622</v>
      </c>
      <c r="N39" t="s">
        <v>636</v>
      </c>
      <c r="O39" t="s">
        <v>622</v>
      </c>
      <c r="P39" t="s">
        <v>491</v>
      </c>
      <c r="Q39" t="s">
        <v>946</v>
      </c>
      <c r="R39" t="s">
        <v>258</v>
      </c>
      <c r="AE39" t="s">
        <v>327</v>
      </c>
    </row>
    <row r="40" spans="1:31" x14ac:dyDescent="0.2">
      <c r="A40" s="1">
        <v>1040038</v>
      </c>
      <c r="B40" t="s">
        <v>98</v>
      </c>
      <c r="C40">
        <v>2</v>
      </c>
      <c r="D40">
        <v>10</v>
      </c>
      <c r="E40">
        <v>0</v>
      </c>
      <c r="F40" t="s">
        <v>627</v>
      </c>
      <c r="G40" t="s">
        <v>622</v>
      </c>
      <c r="H40" t="s">
        <v>622</v>
      </c>
      <c r="I40" t="s">
        <v>622</v>
      </c>
      <c r="J40" t="s">
        <v>622</v>
      </c>
      <c r="K40" t="s">
        <v>622</v>
      </c>
      <c r="L40" t="s">
        <v>622</v>
      </c>
      <c r="M40" t="s">
        <v>622</v>
      </c>
      <c r="N40" t="s">
        <v>622</v>
      </c>
      <c r="O40" t="s">
        <v>622</v>
      </c>
      <c r="P40" t="s">
        <v>910</v>
      </c>
      <c r="Q40" t="s">
        <v>707</v>
      </c>
      <c r="R40" t="s">
        <v>490</v>
      </c>
      <c r="AE40" t="s">
        <v>328</v>
      </c>
    </row>
    <row r="41" spans="1:31" x14ac:dyDescent="0.2">
      <c r="A41" s="1">
        <v>1040039</v>
      </c>
      <c r="B41" t="s">
        <v>103</v>
      </c>
      <c r="C41">
        <v>2</v>
      </c>
      <c r="D41">
        <v>12</v>
      </c>
      <c r="E41">
        <v>1</v>
      </c>
      <c r="F41" t="s">
        <v>622</v>
      </c>
      <c r="G41" t="s">
        <v>637</v>
      </c>
      <c r="H41" t="s">
        <v>622</v>
      </c>
      <c r="I41" t="s">
        <v>622</v>
      </c>
      <c r="J41" t="s">
        <v>622</v>
      </c>
      <c r="K41" t="s">
        <v>622</v>
      </c>
      <c r="L41" t="s">
        <v>622</v>
      </c>
      <c r="M41" t="s">
        <v>622</v>
      </c>
      <c r="N41" t="s">
        <v>622</v>
      </c>
      <c r="O41" t="s">
        <v>622</v>
      </c>
      <c r="Q41" t="s">
        <v>676</v>
      </c>
      <c r="R41" t="s">
        <v>888</v>
      </c>
      <c r="AE41" t="s">
        <v>329</v>
      </c>
    </row>
    <row r="42" spans="1:31" x14ac:dyDescent="0.2">
      <c r="A42" s="1">
        <v>1040040</v>
      </c>
      <c r="B42" t="s">
        <v>107</v>
      </c>
      <c r="C42">
        <v>2</v>
      </c>
      <c r="D42">
        <v>2</v>
      </c>
      <c r="E42">
        <v>0</v>
      </c>
      <c r="F42" t="s">
        <v>627</v>
      </c>
      <c r="G42" t="s">
        <v>622</v>
      </c>
      <c r="H42" t="s">
        <v>622</v>
      </c>
      <c r="I42" t="s">
        <v>622</v>
      </c>
      <c r="J42" t="s">
        <v>622</v>
      </c>
      <c r="K42" t="s">
        <v>622</v>
      </c>
      <c r="L42" t="s">
        <v>622</v>
      </c>
      <c r="M42" t="s">
        <v>622</v>
      </c>
      <c r="N42" t="s">
        <v>622</v>
      </c>
      <c r="O42" t="s">
        <v>622</v>
      </c>
      <c r="P42" t="s">
        <v>900</v>
      </c>
      <c r="Q42" t="s">
        <v>683</v>
      </c>
      <c r="R42" t="s">
        <v>239</v>
      </c>
      <c r="AE42" t="s">
        <v>330</v>
      </c>
    </row>
    <row r="43" spans="1:31" x14ac:dyDescent="0.2">
      <c r="A43" s="1">
        <v>1040041</v>
      </c>
      <c r="B43" t="s">
        <v>116</v>
      </c>
      <c r="C43">
        <v>2</v>
      </c>
      <c r="D43">
        <v>9</v>
      </c>
      <c r="E43">
        <v>0</v>
      </c>
      <c r="F43" t="s">
        <v>626</v>
      </c>
      <c r="G43" t="s">
        <v>622</v>
      </c>
      <c r="H43" t="s">
        <v>622</v>
      </c>
      <c r="I43" t="s">
        <v>622</v>
      </c>
      <c r="J43" t="s">
        <v>622</v>
      </c>
      <c r="K43" t="s">
        <v>622</v>
      </c>
      <c r="L43" t="s">
        <v>622</v>
      </c>
      <c r="M43" t="s">
        <v>622</v>
      </c>
      <c r="N43" t="s">
        <v>622</v>
      </c>
      <c r="O43" t="s">
        <v>622</v>
      </c>
      <c r="P43" t="s">
        <v>911</v>
      </c>
      <c r="R43" t="s">
        <v>262</v>
      </c>
      <c r="AE43" t="s">
        <v>331</v>
      </c>
    </row>
    <row r="44" spans="1:31" x14ac:dyDescent="0.2">
      <c r="A44" s="1">
        <v>1040042</v>
      </c>
      <c r="B44" t="s">
        <v>120</v>
      </c>
      <c r="C44">
        <v>2</v>
      </c>
      <c r="D44">
        <v>3</v>
      </c>
      <c r="E44">
        <v>0</v>
      </c>
      <c r="F44" t="s">
        <v>629</v>
      </c>
      <c r="G44" t="s">
        <v>622</v>
      </c>
      <c r="H44" t="s">
        <v>622</v>
      </c>
      <c r="I44" t="s">
        <v>622</v>
      </c>
      <c r="J44" t="s">
        <v>622</v>
      </c>
      <c r="K44" t="s">
        <v>622</v>
      </c>
      <c r="L44" t="s">
        <v>622</v>
      </c>
      <c r="M44" t="s">
        <v>622</v>
      </c>
      <c r="N44" t="s">
        <v>622</v>
      </c>
      <c r="O44" t="s">
        <v>622</v>
      </c>
      <c r="P44" t="s">
        <v>492</v>
      </c>
      <c r="R44" t="s">
        <v>175</v>
      </c>
      <c r="AE44" t="s">
        <v>332</v>
      </c>
    </row>
    <row r="45" spans="1:31" x14ac:dyDescent="0.2">
      <c r="A45" s="1">
        <v>1040043</v>
      </c>
      <c r="B45" t="s">
        <v>69</v>
      </c>
      <c r="C45">
        <v>3</v>
      </c>
      <c r="D45">
        <v>13</v>
      </c>
      <c r="F45" t="s">
        <v>622</v>
      </c>
      <c r="G45" t="s">
        <v>622</v>
      </c>
      <c r="H45" t="s">
        <v>622</v>
      </c>
      <c r="I45" t="s">
        <v>622</v>
      </c>
      <c r="J45" t="s">
        <v>629</v>
      </c>
      <c r="K45" t="s">
        <v>629</v>
      </c>
      <c r="L45" t="s">
        <v>622</v>
      </c>
      <c r="M45" t="s">
        <v>622</v>
      </c>
      <c r="N45" t="s">
        <v>630</v>
      </c>
      <c r="O45" t="s">
        <v>622</v>
      </c>
      <c r="P45" t="s">
        <v>912</v>
      </c>
      <c r="Q45" t="s">
        <v>698</v>
      </c>
      <c r="R45" t="s">
        <v>493</v>
      </c>
    </row>
    <row r="46" spans="1:31" x14ac:dyDescent="0.2">
      <c r="A46" s="1">
        <v>1040044</v>
      </c>
      <c r="B46" t="s">
        <v>74</v>
      </c>
      <c r="C46">
        <v>3</v>
      </c>
      <c r="D46">
        <v>13</v>
      </c>
      <c r="F46" t="s">
        <v>622</v>
      </c>
      <c r="G46" t="s">
        <v>622</v>
      </c>
      <c r="H46" t="s">
        <v>622</v>
      </c>
      <c r="I46" t="s">
        <v>622</v>
      </c>
      <c r="J46" t="s">
        <v>632</v>
      </c>
      <c r="K46" t="s">
        <v>632</v>
      </c>
      <c r="L46" t="s">
        <v>622</v>
      </c>
      <c r="M46" t="s">
        <v>622</v>
      </c>
      <c r="N46" t="s">
        <v>630</v>
      </c>
      <c r="O46" t="s">
        <v>622</v>
      </c>
      <c r="P46" t="s">
        <v>913</v>
      </c>
      <c r="Q46" t="s">
        <v>709</v>
      </c>
      <c r="R46" t="s">
        <v>494</v>
      </c>
      <c r="AE46" t="s">
        <v>333</v>
      </c>
    </row>
    <row r="47" spans="1:31" x14ac:dyDescent="0.2">
      <c r="A47" s="1">
        <v>1040045</v>
      </c>
      <c r="B47" t="s">
        <v>75</v>
      </c>
      <c r="C47">
        <v>3</v>
      </c>
      <c r="D47">
        <v>14</v>
      </c>
      <c r="F47" t="s">
        <v>622</v>
      </c>
      <c r="G47" t="s">
        <v>622</v>
      </c>
      <c r="H47" t="s">
        <v>629</v>
      </c>
      <c r="I47" t="s">
        <v>629</v>
      </c>
      <c r="J47" t="s">
        <v>622</v>
      </c>
      <c r="K47" t="s">
        <v>622</v>
      </c>
      <c r="L47" t="s">
        <v>631</v>
      </c>
      <c r="M47" t="s">
        <v>631</v>
      </c>
      <c r="N47" t="s">
        <v>622</v>
      </c>
      <c r="O47" t="s">
        <v>622</v>
      </c>
      <c r="P47" t="s">
        <v>914</v>
      </c>
      <c r="Q47" t="s">
        <v>709</v>
      </c>
      <c r="R47" t="s">
        <v>953</v>
      </c>
      <c r="AE47" t="s">
        <v>334</v>
      </c>
    </row>
    <row r="48" spans="1:31" x14ac:dyDescent="0.2">
      <c r="A48" s="1">
        <v>1040046</v>
      </c>
      <c r="B48" t="s">
        <v>80</v>
      </c>
      <c r="C48">
        <v>3</v>
      </c>
      <c r="D48">
        <v>15</v>
      </c>
      <c r="F48" t="s">
        <v>622</v>
      </c>
      <c r="G48" t="s">
        <v>622</v>
      </c>
      <c r="H48" t="s">
        <v>629</v>
      </c>
      <c r="I48" t="s">
        <v>629</v>
      </c>
      <c r="J48" t="s">
        <v>622</v>
      </c>
      <c r="K48" t="s">
        <v>622</v>
      </c>
      <c r="L48" t="s">
        <v>625</v>
      </c>
      <c r="M48" t="s">
        <v>625</v>
      </c>
      <c r="N48" t="s">
        <v>622</v>
      </c>
      <c r="O48" t="s">
        <v>622</v>
      </c>
      <c r="P48" t="s">
        <v>915</v>
      </c>
      <c r="Q48" t="s">
        <v>682</v>
      </c>
      <c r="R48" t="s">
        <v>495</v>
      </c>
      <c r="AE48" t="s">
        <v>335</v>
      </c>
    </row>
    <row r="49" spans="1:31" x14ac:dyDescent="0.2">
      <c r="A49" s="1">
        <v>1040047</v>
      </c>
      <c r="B49" t="s">
        <v>86</v>
      </c>
      <c r="C49">
        <v>3</v>
      </c>
      <c r="D49">
        <v>7</v>
      </c>
      <c r="E49">
        <v>0</v>
      </c>
      <c r="F49" t="s">
        <v>637</v>
      </c>
      <c r="G49" t="s">
        <v>622</v>
      </c>
      <c r="H49" t="s">
        <v>622</v>
      </c>
      <c r="I49" t="s">
        <v>622</v>
      </c>
      <c r="J49" t="s">
        <v>622</v>
      </c>
      <c r="K49" t="s">
        <v>622</v>
      </c>
      <c r="L49" t="s">
        <v>622</v>
      </c>
      <c r="M49" t="s">
        <v>622</v>
      </c>
      <c r="N49" t="s">
        <v>622</v>
      </c>
      <c r="O49" t="s">
        <v>622</v>
      </c>
      <c r="Q49" t="s">
        <v>676</v>
      </c>
      <c r="R49" t="s">
        <v>888</v>
      </c>
      <c r="AE49" t="s">
        <v>563</v>
      </c>
    </row>
    <row r="50" spans="1:31" x14ac:dyDescent="0.2">
      <c r="A50" s="1">
        <v>1040048</v>
      </c>
      <c r="B50" t="s">
        <v>90</v>
      </c>
      <c r="C50">
        <v>3</v>
      </c>
      <c r="D50">
        <v>16</v>
      </c>
      <c r="F50" t="s">
        <v>622</v>
      </c>
      <c r="G50" t="s">
        <v>622</v>
      </c>
      <c r="H50" t="s">
        <v>622</v>
      </c>
      <c r="I50" t="s">
        <v>622</v>
      </c>
      <c r="J50" t="s">
        <v>622</v>
      </c>
      <c r="K50" t="s">
        <v>622</v>
      </c>
      <c r="L50" t="s">
        <v>622</v>
      </c>
      <c r="M50" t="s">
        <v>622</v>
      </c>
      <c r="N50" t="s">
        <v>630</v>
      </c>
      <c r="O50" t="s">
        <v>629</v>
      </c>
      <c r="P50" t="s">
        <v>916</v>
      </c>
      <c r="Q50" t="s">
        <v>681</v>
      </c>
      <c r="R50" t="s">
        <v>496</v>
      </c>
      <c r="AE50" t="s">
        <v>336</v>
      </c>
    </row>
    <row r="51" spans="1:31" x14ac:dyDescent="0.2">
      <c r="A51" s="1">
        <v>1040049</v>
      </c>
      <c r="B51" t="s">
        <v>95</v>
      </c>
      <c r="C51">
        <v>3</v>
      </c>
      <c r="D51">
        <v>1</v>
      </c>
      <c r="E51">
        <v>0</v>
      </c>
      <c r="F51" t="s">
        <v>634</v>
      </c>
      <c r="G51" t="s">
        <v>622</v>
      </c>
      <c r="H51" t="s">
        <v>622</v>
      </c>
      <c r="I51" t="s">
        <v>622</v>
      </c>
      <c r="J51" t="s">
        <v>622</v>
      </c>
      <c r="K51" t="s">
        <v>622</v>
      </c>
      <c r="L51" t="s">
        <v>622</v>
      </c>
      <c r="M51" t="s">
        <v>622</v>
      </c>
      <c r="N51" t="s">
        <v>622</v>
      </c>
      <c r="O51" t="s">
        <v>622</v>
      </c>
      <c r="P51" t="s">
        <v>900</v>
      </c>
      <c r="Q51" t="s">
        <v>683</v>
      </c>
      <c r="R51" t="s">
        <v>242</v>
      </c>
      <c r="AE51" t="s">
        <v>216</v>
      </c>
    </row>
    <row r="52" spans="1:31" x14ac:dyDescent="0.2">
      <c r="A52" s="1">
        <v>1040050</v>
      </c>
      <c r="B52" t="s">
        <v>208</v>
      </c>
      <c r="C52">
        <v>3</v>
      </c>
      <c r="D52">
        <v>4</v>
      </c>
      <c r="E52">
        <v>0</v>
      </c>
      <c r="F52" t="s">
        <v>638</v>
      </c>
      <c r="G52" t="s">
        <v>622</v>
      </c>
      <c r="H52" t="s">
        <v>622</v>
      </c>
      <c r="I52" t="s">
        <v>622</v>
      </c>
      <c r="J52" t="s">
        <v>622</v>
      </c>
      <c r="K52" t="s">
        <v>622</v>
      </c>
      <c r="L52" t="s">
        <v>622</v>
      </c>
      <c r="M52" t="s">
        <v>622</v>
      </c>
      <c r="N52" t="s">
        <v>622</v>
      </c>
      <c r="O52" t="s">
        <v>622</v>
      </c>
      <c r="Q52" t="s">
        <v>676</v>
      </c>
      <c r="R52" t="s">
        <v>888</v>
      </c>
      <c r="AE52" t="s">
        <v>218</v>
      </c>
    </row>
    <row r="53" spans="1:31" x14ac:dyDescent="0.2">
      <c r="A53" s="1">
        <v>1040051</v>
      </c>
      <c r="B53" t="s">
        <v>101</v>
      </c>
      <c r="C53">
        <v>3</v>
      </c>
      <c r="D53">
        <v>13</v>
      </c>
      <c r="F53" t="s">
        <v>622</v>
      </c>
      <c r="G53" t="s">
        <v>622</v>
      </c>
      <c r="H53" t="s">
        <v>622</v>
      </c>
      <c r="I53" t="s">
        <v>622</v>
      </c>
      <c r="J53" t="s">
        <v>639</v>
      </c>
      <c r="K53" t="s">
        <v>639</v>
      </c>
      <c r="L53" t="s">
        <v>622</v>
      </c>
      <c r="M53" t="s">
        <v>622</v>
      </c>
      <c r="N53" t="s">
        <v>623</v>
      </c>
      <c r="O53" t="s">
        <v>622</v>
      </c>
      <c r="P53" t="s">
        <v>889</v>
      </c>
      <c r="AE53" t="s">
        <v>337</v>
      </c>
    </row>
    <row r="54" spans="1:31" x14ac:dyDescent="0.2">
      <c r="A54" s="1">
        <v>1040052</v>
      </c>
      <c r="B54" t="s">
        <v>104</v>
      </c>
      <c r="C54">
        <v>3</v>
      </c>
      <c r="D54">
        <v>12</v>
      </c>
      <c r="E54">
        <v>1</v>
      </c>
      <c r="F54" t="s">
        <v>622</v>
      </c>
      <c r="G54" t="s">
        <v>627</v>
      </c>
      <c r="H54" t="s">
        <v>622</v>
      </c>
      <c r="I54" t="s">
        <v>622</v>
      </c>
      <c r="J54" t="s">
        <v>622</v>
      </c>
      <c r="K54" t="s">
        <v>622</v>
      </c>
      <c r="L54" t="s">
        <v>622</v>
      </c>
      <c r="M54" t="s">
        <v>622</v>
      </c>
      <c r="N54" t="s">
        <v>622</v>
      </c>
      <c r="O54" t="s">
        <v>622</v>
      </c>
      <c r="P54" t="s">
        <v>917</v>
      </c>
      <c r="Q54" t="s">
        <v>710</v>
      </c>
      <c r="R54" t="s">
        <v>954</v>
      </c>
      <c r="AE54" t="s">
        <v>338</v>
      </c>
    </row>
    <row r="55" spans="1:31" x14ac:dyDescent="0.2">
      <c r="A55" s="1">
        <v>1040053</v>
      </c>
      <c r="B55" t="s">
        <v>106</v>
      </c>
      <c r="C55">
        <v>3</v>
      </c>
      <c r="D55">
        <v>14</v>
      </c>
      <c r="F55" t="s">
        <v>622</v>
      </c>
      <c r="G55" t="s">
        <v>622</v>
      </c>
      <c r="H55" t="s">
        <v>640</v>
      </c>
      <c r="I55" t="s">
        <v>640</v>
      </c>
      <c r="J55" t="s">
        <v>622</v>
      </c>
      <c r="K55" t="s">
        <v>622</v>
      </c>
      <c r="L55" t="s">
        <v>623</v>
      </c>
      <c r="M55" t="s">
        <v>623</v>
      </c>
      <c r="N55" t="s">
        <v>622</v>
      </c>
      <c r="O55" t="s">
        <v>622</v>
      </c>
      <c r="P55" t="s">
        <v>497</v>
      </c>
      <c r="Q55" t="s">
        <v>947</v>
      </c>
      <c r="R55" t="s">
        <v>265</v>
      </c>
      <c r="AE55" t="s">
        <v>339</v>
      </c>
    </row>
    <row r="56" spans="1:31" x14ac:dyDescent="0.2">
      <c r="A56" s="1">
        <v>1040054</v>
      </c>
      <c r="B56" t="s">
        <v>108</v>
      </c>
      <c r="C56">
        <v>3</v>
      </c>
      <c r="D56">
        <v>2</v>
      </c>
      <c r="E56">
        <v>0</v>
      </c>
      <c r="F56" t="s">
        <v>634</v>
      </c>
      <c r="G56" t="s">
        <v>622</v>
      </c>
      <c r="H56" t="s">
        <v>622</v>
      </c>
      <c r="I56" t="s">
        <v>622</v>
      </c>
      <c r="J56" t="s">
        <v>622</v>
      </c>
      <c r="K56" t="s">
        <v>622</v>
      </c>
      <c r="L56" t="s">
        <v>622</v>
      </c>
      <c r="M56" t="s">
        <v>622</v>
      </c>
      <c r="N56" t="s">
        <v>622</v>
      </c>
      <c r="O56" t="s">
        <v>622</v>
      </c>
      <c r="P56" t="s">
        <v>918</v>
      </c>
      <c r="Q56" t="s">
        <v>948</v>
      </c>
      <c r="R56" t="s">
        <v>266</v>
      </c>
      <c r="AE56" t="s">
        <v>221</v>
      </c>
    </row>
    <row r="57" spans="1:31" x14ac:dyDescent="0.2">
      <c r="A57" s="1">
        <v>1040055</v>
      </c>
      <c r="B57" t="s">
        <v>110</v>
      </c>
      <c r="C57">
        <v>3</v>
      </c>
      <c r="D57">
        <v>15</v>
      </c>
      <c r="F57" t="s">
        <v>622</v>
      </c>
      <c r="G57" t="s">
        <v>622</v>
      </c>
      <c r="H57" t="s">
        <v>641</v>
      </c>
      <c r="I57" t="s">
        <v>642</v>
      </c>
      <c r="J57" t="s">
        <v>622</v>
      </c>
      <c r="K57" t="s">
        <v>622</v>
      </c>
      <c r="L57" t="s">
        <v>641</v>
      </c>
      <c r="M57" t="s">
        <v>630</v>
      </c>
      <c r="N57" t="s">
        <v>622</v>
      </c>
      <c r="O57" t="s">
        <v>622</v>
      </c>
      <c r="P57" t="s">
        <v>919</v>
      </c>
      <c r="Q57" t="s">
        <v>949</v>
      </c>
      <c r="R57" t="s">
        <v>514</v>
      </c>
      <c r="AE57" t="s">
        <v>340</v>
      </c>
    </row>
    <row r="58" spans="1:31" x14ac:dyDescent="0.2">
      <c r="A58" s="1">
        <v>1040056</v>
      </c>
      <c r="B58" t="s">
        <v>111</v>
      </c>
      <c r="C58">
        <v>3</v>
      </c>
      <c r="D58">
        <v>11</v>
      </c>
      <c r="E58">
        <v>1</v>
      </c>
      <c r="F58" t="s">
        <v>622</v>
      </c>
      <c r="G58" t="s">
        <v>638</v>
      </c>
      <c r="H58" t="s">
        <v>622</v>
      </c>
      <c r="I58" t="s">
        <v>622</v>
      </c>
      <c r="J58" t="s">
        <v>622</v>
      </c>
      <c r="K58" t="s">
        <v>622</v>
      </c>
      <c r="L58" t="s">
        <v>622</v>
      </c>
      <c r="M58" t="s">
        <v>622</v>
      </c>
      <c r="N58" t="s">
        <v>622</v>
      </c>
      <c r="O58" t="s">
        <v>622</v>
      </c>
      <c r="P58" t="s">
        <v>920</v>
      </c>
      <c r="Q58" t="s">
        <v>711</v>
      </c>
      <c r="R58" t="s">
        <v>712</v>
      </c>
      <c r="AE58" t="s">
        <v>341</v>
      </c>
    </row>
    <row r="59" spans="1:31" x14ac:dyDescent="0.2">
      <c r="A59" s="1">
        <v>1040057</v>
      </c>
      <c r="B59" t="s">
        <v>114</v>
      </c>
      <c r="C59">
        <v>3</v>
      </c>
      <c r="D59">
        <v>16</v>
      </c>
      <c r="F59" t="s">
        <v>622</v>
      </c>
      <c r="G59" t="s">
        <v>622</v>
      </c>
      <c r="H59" t="s">
        <v>622</v>
      </c>
      <c r="I59" t="s">
        <v>622</v>
      </c>
      <c r="J59" t="s">
        <v>622</v>
      </c>
      <c r="K59" t="s">
        <v>622</v>
      </c>
      <c r="L59" t="s">
        <v>622</v>
      </c>
      <c r="M59" t="s">
        <v>622</v>
      </c>
      <c r="N59" t="s">
        <v>630</v>
      </c>
      <c r="O59" t="s">
        <v>629</v>
      </c>
      <c r="P59" t="s">
        <v>921</v>
      </c>
      <c r="Q59" t="s">
        <v>950</v>
      </c>
      <c r="R59" t="s">
        <v>179</v>
      </c>
      <c r="AE59" t="s">
        <v>342</v>
      </c>
    </row>
    <row r="60" spans="1:31" x14ac:dyDescent="0.2">
      <c r="A60" s="1">
        <v>1040058</v>
      </c>
      <c r="B60" t="s">
        <v>117</v>
      </c>
      <c r="C60">
        <v>3</v>
      </c>
      <c r="D60">
        <v>1</v>
      </c>
      <c r="E60">
        <v>1</v>
      </c>
      <c r="F60" t="s">
        <v>643</v>
      </c>
      <c r="G60" t="s">
        <v>622</v>
      </c>
      <c r="H60" t="s">
        <v>622</v>
      </c>
      <c r="I60" t="s">
        <v>622</v>
      </c>
      <c r="J60" t="s">
        <v>622</v>
      </c>
      <c r="K60" t="s">
        <v>622</v>
      </c>
      <c r="L60" t="s">
        <v>622</v>
      </c>
      <c r="M60" t="s">
        <v>622</v>
      </c>
      <c r="N60" t="s">
        <v>622</v>
      </c>
      <c r="O60" t="s">
        <v>622</v>
      </c>
      <c r="P60" t="s">
        <v>922</v>
      </c>
      <c r="Q60" t="s">
        <v>261</v>
      </c>
      <c r="R60" t="s">
        <v>515</v>
      </c>
      <c r="AE60" t="s">
        <v>222</v>
      </c>
    </row>
    <row r="61" spans="1:31" x14ac:dyDescent="0.2">
      <c r="A61" s="1">
        <v>1040059</v>
      </c>
      <c r="B61" t="s">
        <v>119</v>
      </c>
      <c r="C61">
        <v>3</v>
      </c>
      <c r="D61">
        <v>15</v>
      </c>
      <c r="F61" t="s">
        <v>622</v>
      </c>
      <c r="G61" t="s">
        <v>622</v>
      </c>
      <c r="H61" t="s">
        <v>629</v>
      </c>
      <c r="I61" t="s">
        <v>629</v>
      </c>
      <c r="J61" t="s">
        <v>622</v>
      </c>
      <c r="K61" t="s">
        <v>622</v>
      </c>
      <c r="L61" t="s">
        <v>631</v>
      </c>
      <c r="M61" t="s">
        <v>631</v>
      </c>
      <c r="N61" t="s">
        <v>622</v>
      </c>
      <c r="O61" t="s">
        <v>622</v>
      </c>
      <c r="P61" t="s">
        <v>498</v>
      </c>
      <c r="Q61" t="s">
        <v>951</v>
      </c>
      <c r="R61" t="s">
        <v>267</v>
      </c>
      <c r="AE61" t="s">
        <v>343</v>
      </c>
    </row>
    <row r="62" spans="1:31" x14ac:dyDescent="0.2">
      <c r="A62" s="1">
        <v>1040060</v>
      </c>
      <c r="B62" t="s">
        <v>121</v>
      </c>
      <c r="C62">
        <v>3</v>
      </c>
      <c r="D62">
        <v>2</v>
      </c>
      <c r="E62">
        <v>0</v>
      </c>
      <c r="F62" t="s">
        <v>644</v>
      </c>
      <c r="G62" t="s">
        <v>622</v>
      </c>
      <c r="H62" t="s">
        <v>622</v>
      </c>
      <c r="I62" t="s">
        <v>622</v>
      </c>
      <c r="J62" t="s">
        <v>622</v>
      </c>
      <c r="K62" t="s">
        <v>622</v>
      </c>
      <c r="L62" t="s">
        <v>622</v>
      </c>
      <c r="M62" t="s">
        <v>622</v>
      </c>
      <c r="N62" t="s">
        <v>622</v>
      </c>
      <c r="O62" t="s">
        <v>622</v>
      </c>
      <c r="P62" t="s">
        <v>923</v>
      </c>
      <c r="Q62" t="s">
        <v>952</v>
      </c>
      <c r="R62" t="s">
        <v>516</v>
      </c>
      <c r="AE62" t="s">
        <v>344</v>
      </c>
    </row>
    <row r="63" spans="1:31" x14ac:dyDescent="0.2">
      <c r="A63" s="1">
        <v>1040061</v>
      </c>
      <c r="B63" t="s">
        <v>58</v>
      </c>
      <c r="C63">
        <v>4</v>
      </c>
      <c r="D63">
        <v>6</v>
      </c>
      <c r="E63">
        <v>0</v>
      </c>
      <c r="F63" t="s">
        <v>637</v>
      </c>
      <c r="G63" t="s">
        <v>622</v>
      </c>
      <c r="H63" t="s">
        <v>622</v>
      </c>
      <c r="I63" t="s">
        <v>622</v>
      </c>
      <c r="J63" t="s">
        <v>622</v>
      </c>
      <c r="K63" t="s">
        <v>622</v>
      </c>
      <c r="L63" t="s">
        <v>622</v>
      </c>
      <c r="M63" t="s">
        <v>622</v>
      </c>
      <c r="N63" t="s">
        <v>622</v>
      </c>
      <c r="O63" t="s">
        <v>622</v>
      </c>
      <c r="P63" t="s">
        <v>906</v>
      </c>
      <c r="Q63" t="s">
        <v>679</v>
      </c>
      <c r="R63" t="s">
        <v>486</v>
      </c>
      <c r="S63" t="s">
        <v>960</v>
      </c>
      <c r="T63" t="s">
        <v>780</v>
      </c>
      <c r="U63" t="s">
        <v>530</v>
      </c>
      <c r="AE63" t="s">
        <v>345</v>
      </c>
    </row>
    <row r="64" spans="1:31" x14ac:dyDescent="0.2">
      <c r="A64" s="1">
        <v>1040062</v>
      </c>
      <c r="B64" t="s">
        <v>615</v>
      </c>
      <c r="C64">
        <v>4</v>
      </c>
      <c r="D64">
        <v>11</v>
      </c>
      <c r="E64">
        <v>1</v>
      </c>
      <c r="F64" t="s">
        <v>622</v>
      </c>
      <c r="G64" t="s">
        <v>644</v>
      </c>
      <c r="H64" t="s">
        <v>622</v>
      </c>
      <c r="I64" t="s">
        <v>622</v>
      </c>
      <c r="J64" t="s">
        <v>622</v>
      </c>
      <c r="K64" t="s">
        <v>622</v>
      </c>
      <c r="L64" t="s">
        <v>622</v>
      </c>
      <c r="M64" t="s">
        <v>622</v>
      </c>
      <c r="N64" t="s">
        <v>622</v>
      </c>
      <c r="O64" t="s">
        <v>622</v>
      </c>
      <c r="P64" t="s">
        <v>924</v>
      </c>
      <c r="Q64" t="s">
        <v>680</v>
      </c>
      <c r="R64" t="s">
        <v>227</v>
      </c>
      <c r="S64" t="s">
        <v>517</v>
      </c>
      <c r="T64" t="s">
        <v>781</v>
      </c>
      <c r="U64" t="s">
        <v>531</v>
      </c>
      <c r="AE64" t="s">
        <v>346</v>
      </c>
    </row>
    <row r="65" spans="1:31" x14ac:dyDescent="0.2">
      <c r="A65" s="1">
        <v>1040063</v>
      </c>
      <c r="B65" t="s">
        <v>71</v>
      </c>
      <c r="C65">
        <v>4</v>
      </c>
      <c r="D65">
        <v>5</v>
      </c>
      <c r="E65">
        <v>0</v>
      </c>
      <c r="F65" t="s">
        <v>637</v>
      </c>
      <c r="G65" t="s">
        <v>622</v>
      </c>
      <c r="H65" t="s">
        <v>622</v>
      </c>
      <c r="I65" t="s">
        <v>622</v>
      </c>
      <c r="J65" t="s">
        <v>622</v>
      </c>
      <c r="K65" t="s">
        <v>622</v>
      </c>
      <c r="L65" t="s">
        <v>622</v>
      </c>
      <c r="M65" t="s">
        <v>622</v>
      </c>
      <c r="N65" t="s">
        <v>622</v>
      </c>
      <c r="O65" t="s">
        <v>622</v>
      </c>
      <c r="P65" t="s">
        <v>925</v>
      </c>
      <c r="Q65" t="s">
        <v>683</v>
      </c>
      <c r="R65" t="s">
        <v>499</v>
      </c>
      <c r="S65" t="s">
        <v>961</v>
      </c>
      <c r="T65" t="s">
        <v>782</v>
      </c>
      <c r="U65" t="s">
        <v>158</v>
      </c>
      <c r="AE65" t="s">
        <v>209</v>
      </c>
    </row>
    <row r="66" spans="1:31" x14ac:dyDescent="0.2">
      <c r="A66" s="1">
        <v>1040064</v>
      </c>
      <c r="B66" t="s">
        <v>72</v>
      </c>
      <c r="C66">
        <v>4</v>
      </c>
      <c r="D66">
        <v>8</v>
      </c>
      <c r="E66">
        <v>0</v>
      </c>
      <c r="F66" t="s">
        <v>645</v>
      </c>
      <c r="G66" t="s">
        <v>622</v>
      </c>
      <c r="H66" t="s">
        <v>622</v>
      </c>
      <c r="I66" t="s">
        <v>622</v>
      </c>
      <c r="J66" t="s">
        <v>622</v>
      </c>
      <c r="K66" t="s">
        <v>622</v>
      </c>
      <c r="L66" t="s">
        <v>622</v>
      </c>
      <c r="M66" t="s">
        <v>622</v>
      </c>
      <c r="N66" t="s">
        <v>622</v>
      </c>
      <c r="O66" t="s">
        <v>622</v>
      </c>
      <c r="P66" t="s">
        <v>926</v>
      </c>
      <c r="Q66" t="s">
        <v>683</v>
      </c>
      <c r="R66" t="s">
        <v>500</v>
      </c>
      <c r="S66" t="s">
        <v>961</v>
      </c>
      <c r="T66" t="s">
        <v>782</v>
      </c>
      <c r="U66" t="s">
        <v>158</v>
      </c>
      <c r="AE66" t="s">
        <v>347</v>
      </c>
    </row>
    <row r="67" spans="1:31" x14ac:dyDescent="0.2">
      <c r="A67" s="1">
        <v>1040065</v>
      </c>
      <c r="B67" t="s">
        <v>73</v>
      </c>
      <c r="C67">
        <v>4</v>
      </c>
      <c r="D67">
        <v>16</v>
      </c>
      <c r="F67" t="s">
        <v>622</v>
      </c>
      <c r="G67" t="s">
        <v>622</v>
      </c>
      <c r="H67" t="s">
        <v>622</v>
      </c>
      <c r="I67" t="s">
        <v>622</v>
      </c>
      <c r="J67" t="s">
        <v>622</v>
      </c>
      <c r="K67" t="s">
        <v>622</v>
      </c>
      <c r="L67" t="s">
        <v>622</v>
      </c>
      <c r="M67" t="s">
        <v>622</v>
      </c>
      <c r="N67" t="s">
        <v>641</v>
      </c>
      <c r="O67" t="s">
        <v>642</v>
      </c>
      <c r="P67" t="s">
        <v>912</v>
      </c>
      <c r="Q67" t="s">
        <v>698</v>
      </c>
      <c r="R67" t="s">
        <v>493</v>
      </c>
      <c r="S67" t="s">
        <v>962</v>
      </c>
      <c r="T67" t="s">
        <v>783</v>
      </c>
      <c r="U67" t="s">
        <v>532</v>
      </c>
      <c r="AE67" t="s">
        <v>348</v>
      </c>
    </row>
    <row r="68" spans="1:31" x14ac:dyDescent="0.2">
      <c r="A68" s="1">
        <v>1040066</v>
      </c>
      <c r="B68" t="s">
        <v>76</v>
      </c>
      <c r="C68">
        <v>4</v>
      </c>
      <c r="D68">
        <v>9</v>
      </c>
      <c r="E68">
        <v>0</v>
      </c>
      <c r="F68" t="s">
        <v>637</v>
      </c>
      <c r="G68" t="s">
        <v>622</v>
      </c>
      <c r="H68" t="s">
        <v>622</v>
      </c>
      <c r="I68" t="s">
        <v>622</v>
      </c>
      <c r="J68" t="s">
        <v>622</v>
      </c>
      <c r="K68" t="s">
        <v>622</v>
      </c>
      <c r="L68" t="s">
        <v>622</v>
      </c>
      <c r="M68" t="s">
        <v>622</v>
      </c>
      <c r="N68" t="s">
        <v>622</v>
      </c>
      <c r="O68" t="s">
        <v>622</v>
      </c>
      <c r="P68" t="s">
        <v>925</v>
      </c>
      <c r="Q68" t="s">
        <v>683</v>
      </c>
      <c r="R68" t="s">
        <v>499</v>
      </c>
      <c r="S68" t="s">
        <v>963</v>
      </c>
      <c r="T68" t="s">
        <v>784</v>
      </c>
      <c r="U68" t="s">
        <v>240</v>
      </c>
      <c r="AE68" t="s">
        <v>210</v>
      </c>
    </row>
    <row r="69" spans="1:31" x14ac:dyDescent="0.2">
      <c r="A69" s="1">
        <v>1040067</v>
      </c>
      <c r="B69" t="s">
        <v>77</v>
      </c>
      <c r="C69">
        <v>4</v>
      </c>
      <c r="D69">
        <v>10</v>
      </c>
      <c r="E69">
        <v>1</v>
      </c>
      <c r="F69" t="s">
        <v>622</v>
      </c>
      <c r="G69" t="s">
        <v>637</v>
      </c>
      <c r="H69" t="s">
        <v>622</v>
      </c>
      <c r="I69" t="s">
        <v>622</v>
      </c>
      <c r="J69" t="s">
        <v>622</v>
      </c>
      <c r="K69" t="s">
        <v>622</v>
      </c>
      <c r="L69" t="s">
        <v>622</v>
      </c>
      <c r="M69" t="s">
        <v>622</v>
      </c>
      <c r="N69" t="s">
        <v>622</v>
      </c>
      <c r="O69" t="s">
        <v>622</v>
      </c>
      <c r="P69" t="s">
        <v>927</v>
      </c>
      <c r="Q69" t="s">
        <v>684</v>
      </c>
      <c r="R69" t="s">
        <v>501</v>
      </c>
      <c r="S69" t="s">
        <v>964</v>
      </c>
      <c r="T69" t="s">
        <v>785</v>
      </c>
      <c r="U69" t="s">
        <v>245</v>
      </c>
      <c r="AE69" t="s">
        <v>349</v>
      </c>
    </row>
    <row r="70" spans="1:31" x14ac:dyDescent="0.2">
      <c r="A70" s="1">
        <v>1040068</v>
      </c>
      <c r="B70" t="s">
        <v>81</v>
      </c>
      <c r="C70">
        <v>4</v>
      </c>
      <c r="D70">
        <v>16</v>
      </c>
      <c r="F70" t="s">
        <v>622</v>
      </c>
      <c r="G70" t="s">
        <v>622</v>
      </c>
      <c r="H70" t="s">
        <v>622</v>
      </c>
      <c r="I70" t="s">
        <v>622</v>
      </c>
      <c r="J70" t="s">
        <v>622</v>
      </c>
      <c r="K70" t="s">
        <v>622</v>
      </c>
      <c r="L70" t="s">
        <v>622</v>
      </c>
      <c r="M70" t="s">
        <v>622</v>
      </c>
      <c r="N70" t="s">
        <v>632</v>
      </c>
      <c r="O70" t="s">
        <v>623</v>
      </c>
      <c r="P70" t="s">
        <v>915</v>
      </c>
      <c r="Q70" t="s">
        <v>682</v>
      </c>
      <c r="R70" t="s">
        <v>495</v>
      </c>
      <c r="S70" t="s">
        <v>518</v>
      </c>
      <c r="T70" t="s">
        <v>786</v>
      </c>
      <c r="U70" t="s">
        <v>533</v>
      </c>
      <c r="AE70" t="s">
        <v>350</v>
      </c>
    </row>
    <row r="71" spans="1:31" x14ac:dyDescent="0.2">
      <c r="A71" s="1">
        <v>1040069</v>
      </c>
      <c r="B71" t="s">
        <v>82</v>
      </c>
      <c r="C71">
        <v>4</v>
      </c>
      <c r="D71">
        <v>10</v>
      </c>
      <c r="E71">
        <v>1</v>
      </c>
      <c r="F71" t="s">
        <v>622</v>
      </c>
      <c r="G71" t="s">
        <v>627</v>
      </c>
      <c r="H71" t="s">
        <v>622</v>
      </c>
      <c r="I71" t="s">
        <v>622</v>
      </c>
      <c r="J71" t="s">
        <v>622</v>
      </c>
      <c r="K71" t="s">
        <v>622</v>
      </c>
      <c r="L71" t="s">
        <v>622</v>
      </c>
      <c r="M71" t="s">
        <v>622</v>
      </c>
      <c r="N71" t="s">
        <v>622</v>
      </c>
      <c r="O71" t="s">
        <v>622</v>
      </c>
      <c r="P71" t="s">
        <v>928</v>
      </c>
      <c r="Q71" t="s">
        <v>679</v>
      </c>
      <c r="R71" t="s">
        <v>502</v>
      </c>
      <c r="S71" t="s">
        <v>965</v>
      </c>
      <c r="T71" t="s">
        <v>787</v>
      </c>
      <c r="U71" t="s">
        <v>534</v>
      </c>
      <c r="AE71" t="s">
        <v>211</v>
      </c>
    </row>
    <row r="72" spans="1:31" x14ac:dyDescent="0.2">
      <c r="A72" s="1">
        <v>1040070</v>
      </c>
      <c r="B72" t="s">
        <v>83</v>
      </c>
      <c r="C72">
        <v>4</v>
      </c>
      <c r="D72">
        <v>0</v>
      </c>
      <c r="E72">
        <v>1</v>
      </c>
      <c r="F72" t="s">
        <v>622</v>
      </c>
      <c r="G72" t="s">
        <v>645</v>
      </c>
      <c r="H72" t="s">
        <v>622</v>
      </c>
      <c r="I72" t="s">
        <v>622</v>
      </c>
      <c r="J72" t="s">
        <v>622</v>
      </c>
      <c r="K72" t="s">
        <v>622</v>
      </c>
      <c r="L72" t="s">
        <v>622</v>
      </c>
      <c r="M72" t="s">
        <v>622</v>
      </c>
      <c r="N72" t="s">
        <v>622</v>
      </c>
      <c r="O72" t="s">
        <v>622</v>
      </c>
      <c r="P72" t="s">
        <v>924</v>
      </c>
      <c r="Q72" t="s">
        <v>680</v>
      </c>
      <c r="R72" t="s">
        <v>227</v>
      </c>
      <c r="S72" t="s">
        <v>519</v>
      </c>
      <c r="T72" t="s">
        <v>788</v>
      </c>
      <c r="U72" t="s">
        <v>229</v>
      </c>
      <c r="AE72" t="s">
        <v>212</v>
      </c>
    </row>
    <row r="73" spans="1:31" x14ac:dyDescent="0.2">
      <c r="A73" s="1">
        <v>1040071</v>
      </c>
      <c r="B73" t="s">
        <v>87</v>
      </c>
      <c r="C73">
        <v>4</v>
      </c>
      <c r="D73">
        <v>6</v>
      </c>
      <c r="E73">
        <v>1</v>
      </c>
      <c r="F73" t="s">
        <v>622</v>
      </c>
      <c r="G73" t="s">
        <v>637</v>
      </c>
      <c r="H73" t="s">
        <v>622</v>
      </c>
      <c r="I73" t="s">
        <v>622</v>
      </c>
      <c r="J73" t="s">
        <v>622</v>
      </c>
      <c r="K73" t="s">
        <v>622</v>
      </c>
      <c r="L73" t="s">
        <v>622</v>
      </c>
      <c r="M73" t="s">
        <v>622</v>
      </c>
      <c r="N73" t="s">
        <v>622</v>
      </c>
      <c r="O73" t="s">
        <v>622</v>
      </c>
      <c r="P73" t="s">
        <v>928</v>
      </c>
      <c r="Q73" t="s">
        <v>679</v>
      </c>
      <c r="R73" t="s">
        <v>502</v>
      </c>
      <c r="S73" t="s">
        <v>520</v>
      </c>
      <c r="T73" t="s">
        <v>789</v>
      </c>
      <c r="U73" t="s">
        <v>535</v>
      </c>
      <c r="AE73" t="s">
        <v>213</v>
      </c>
    </row>
    <row r="74" spans="1:31" x14ac:dyDescent="0.2">
      <c r="A74" s="1">
        <v>1040072</v>
      </c>
      <c r="B74" t="s">
        <v>88</v>
      </c>
      <c r="C74">
        <v>4</v>
      </c>
      <c r="D74">
        <v>9</v>
      </c>
      <c r="E74">
        <v>1</v>
      </c>
      <c r="F74" t="s">
        <v>622</v>
      </c>
      <c r="G74" t="s">
        <v>627</v>
      </c>
      <c r="H74" t="s">
        <v>622</v>
      </c>
      <c r="I74" t="s">
        <v>622</v>
      </c>
      <c r="J74" t="s">
        <v>622</v>
      </c>
      <c r="K74" t="s">
        <v>622</v>
      </c>
      <c r="L74" t="s">
        <v>622</v>
      </c>
      <c r="M74" t="s">
        <v>622</v>
      </c>
      <c r="N74" t="s">
        <v>622</v>
      </c>
      <c r="O74" t="s">
        <v>622</v>
      </c>
      <c r="P74" t="s">
        <v>928</v>
      </c>
      <c r="Q74" t="s">
        <v>679</v>
      </c>
      <c r="R74" t="s">
        <v>502</v>
      </c>
      <c r="S74" t="s">
        <v>520</v>
      </c>
      <c r="T74" t="s">
        <v>789</v>
      </c>
      <c r="U74" t="s">
        <v>536</v>
      </c>
      <c r="AE74" t="s">
        <v>214</v>
      </c>
    </row>
    <row r="75" spans="1:31" x14ac:dyDescent="0.2">
      <c r="A75" s="1">
        <v>1040073</v>
      </c>
      <c r="B75" t="s">
        <v>91</v>
      </c>
      <c r="C75">
        <v>4</v>
      </c>
      <c r="D75">
        <v>4</v>
      </c>
      <c r="E75">
        <v>0</v>
      </c>
      <c r="F75" t="s">
        <v>645</v>
      </c>
      <c r="G75" t="s">
        <v>622</v>
      </c>
      <c r="H75" t="s">
        <v>622</v>
      </c>
      <c r="I75" t="s">
        <v>622</v>
      </c>
      <c r="J75" t="s">
        <v>646</v>
      </c>
      <c r="K75" t="s">
        <v>622</v>
      </c>
      <c r="L75" t="s">
        <v>622</v>
      </c>
      <c r="M75" t="s">
        <v>622</v>
      </c>
      <c r="N75" t="s">
        <v>622</v>
      </c>
      <c r="O75" t="s">
        <v>622</v>
      </c>
      <c r="P75" t="s">
        <v>929</v>
      </c>
      <c r="Q75" t="s">
        <v>683</v>
      </c>
      <c r="R75" t="s">
        <v>241</v>
      </c>
      <c r="S75" t="s">
        <v>966</v>
      </c>
      <c r="T75" t="s">
        <v>790</v>
      </c>
      <c r="U75" t="s">
        <v>537</v>
      </c>
      <c r="AE75" t="s">
        <v>215</v>
      </c>
    </row>
    <row r="76" spans="1:31" x14ac:dyDescent="0.2">
      <c r="A76" s="1">
        <v>1040074</v>
      </c>
      <c r="B76" t="s">
        <v>92</v>
      </c>
      <c r="C76">
        <v>4</v>
      </c>
      <c r="D76">
        <v>9</v>
      </c>
      <c r="E76">
        <v>1</v>
      </c>
      <c r="F76" t="s">
        <v>622</v>
      </c>
      <c r="G76" t="s">
        <v>637</v>
      </c>
      <c r="H76" t="s">
        <v>622</v>
      </c>
      <c r="I76" t="s">
        <v>622</v>
      </c>
      <c r="J76" t="s">
        <v>622</v>
      </c>
      <c r="K76" t="s">
        <v>622</v>
      </c>
      <c r="L76" t="s">
        <v>622</v>
      </c>
      <c r="M76" t="s">
        <v>622</v>
      </c>
      <c r="N76" t="s">
        <v>622</v>
      </c>
      <c r="O76" t="s">
        <v>622</v>
      </c>
      <c r="P76" t="s">
        <v>906</v>
      </c>
      <c r="Q76" t="s">
        <v>679</v>
      </c>
      <c r="R76" t="s">
        <v>486</v>
      </c>
      <c r="S76" t="s">
        <v>967</v>
      </c>
      <c r="T76" t="s">
        <v>791</v>
      </c>
      <c r="U76" t="s">
        <v>538</v>
      </c>
      <c r="AE76" t="s">
        <v>351</v>
      </c>
    </row>
    <row r="77" spans="1:31" x14ac:dyDescent="0.2">
      <c r="A77" s="1">
        <v>1040075</v>
      </c>
      <c r="B77" t="s">
        <v>99</v>
      </c>
      <c r="C77">
        <v>4</v>
      </c>
      <c r="D77">
        <v>2</v>
      </c>
      <c r="E77">
        <v>0</v>
      </c>
      <c r="F77" t="s">
        <v>637</v>
      </c>
      <c r="G77" t="s">
        <v>622</v>
      </c>
      <c r="H77" t="s">
        <v>622</v>
      </c>
      <c r="I77" t="s">
        <v>622</v>
      </c>
      <c r="J77" t="s">
        <v>622</v>
      </c>
      <c r="K77" t="s">
        <v>622</v>
      </c>
      <c r="L77" t="s">
        <v>622</v>
      </c>
      <c r="M77" t="s">
        <v>622</v>
      </c>
      <c r="N77" t="s">
        <v>622</v>
      </c>
      <c r="O77" t="s">
        <v>622</v>
      </c>
      <c r="P77" t="s">
        <v>930</v>
      </c>
      <c r="Q77" t="s">
        <v>707</v>
      </c>
      <c r="R77" t="s">
        <v>503</v>
      </c>
      <c r="S77" t="s">
        <v>521</v>
      </c>
      <c r="T77" t="s">
        <v>792</v>
      </c>
      <c r="U77" t="s">
        <v>539</v>
      </c>
      <c r="AE77" t="s">
        <v>219</v>
      </c>
    </row>
    <row r="78" spans="1:31" x14ac:dyDescent="0.2">
      <c r="A78" s="1">
        <v>1040076</v>
      </c>
      <c r="B78" t="s">
        <v>102</v>
      </c>
      <c r="C78">
        <v>4</v>
      </c>
      <c r="D78">
        <v>15</v>
      </c>
      <c r="F78" t="s">
        <v>622</v>
      </c>
      <c r="G78" t="s">
        <v>622</v>
      </c>
      <c r="H78" t="s">
        <v>647</v>
      </c>
      <c r="I78" t="s">
        <v>632</v>
      </c>
      <c r="J78" t="s">
        <v>622</v>
      </c>
      <c r="K78" t="s">
        <v>622</v>
      </c>
      <c r="L78" t="s">
        <v>630</v>
      </c>
      <c r="M78" t="s">
        <v>625</v>
      </c>
      <c r="N78" t="s">
        <v>622</v>
      </c>
      <c r="O78" t="s">
        <v>622</v>
      </c>
      <c r="P78" t="s">
        <v>890</v>
      </c>
      <c r="Q78" t="s">
        <v>891</v>
      </c>
      <c r="R78" t="s">
        <v>955</v>
      </c>
      <c r="S78" t="s">
        <v>522</v>
      </c>
      <c r="T78" t="s">
        <v>793</v>
      </c>
      <c r="U78" t="s">
        <v>540</v>
      </c>
    </row>
    <row r="79" spans="1:31" x14ac:dyDescent="0.2">
      <c r="A79" s="1">
        <v>1040077</v>
      </c>
      <c r="B79" t="s">
        <v>105</v>
      </c>
      <c r="C79">
        <v>4</v>
      </c>
      <c r="D79">
        <v>11</v>
      </c>
      <c r="E79">
        <v>1</v>
      </c>
      <c r="F79" t="s">
        <v>622</v>
      </c>
      <c r="G79" t="s">
        <v>634</v>
      </c>
      <c r="H79" t="s">
        <v>622</v>
      </c>
      <c r="I79" t="s">
        <v>622</v>
      </c>
      <c r="J79" t="s">
        <v>622</v>
      </c>
      <c r="K79" t="s">
        <v>622</v>
      </c>
      <c r="L79" t="s">
        <v>622</v>
      </c>
      <c r="M79" t="s">
        <v>622</v>
      </c>
      <c r="N79" t="s">
        <v>622</v>
      </c>
      <c r="O79" t="s">
        <v>622</v>
      </c>
      <c r="P79" t="s">
        <v>931</v>
      </c>
      <c r="Q79" t="s">
        <v>684</v>
      </c>
      <c r="R79" t="s">
        <v>504</v>
      </c>
      <c r="S79" t="s">
        <v>968</v>
      </c>
      <c r="T79" t="s">
        <v>794</v>
      </c>
      <c r="U79" t="s">
        <v>285</v>
      </c>
      <c r="AE79" t="s">
        <v>220</v>
      </c>
    </row>
    <row r="80" spans="1:31" x14ac:dyDescent="0.2">
      <c r="A80" s="1">
        <v>1040078</v>
      </c>
      <c r="B80" t="s">
        <v>112</v>
      </c>
      <c r="C80">
        <v>4</v>
      </c>
      <c r="D80">
        <v>11</v>
      </c>
      <c r="E80">
        <v>0</v>
      </c>
      <c r="F80" t="s">
        <v>648</v>
      </c>
      <c r="G80" t="s">
        <v>622</v>
      </c>
      <c r="H80" t="s">
        <v>622</v>
      </c>
      <c r="I80" t="s">
        <v>622</v>
      </c>
      <c r="J80" t="s">
        <v>649</v>
      </c>
      <c r="K80" t="s">
        <v>622</v>
      </c>
      <c r="L80" t="s">
        <v>622</v>
      </c>
      <c r="M80" t="s">
        <v>622</v>
      </c>
      <c r="N80" t="s">
        <v>622</v>
      </c>
      <c r="O80" t="s">
        <v>622</v>
      </c>
      <c r="P80" t="s">
        <v>920</v>
      </c>
      <c r="Q80" t="s">
        <v>711</v>
      </c>
      <c r="R80" t="s">
        <v>505</v>
      </c>
      <c r="S80" t="s">
        <v>523</v>
      </c>
      <c r="T80" t="s">
        <v>795</v>
      </c>
      <c r="U80" t="s">
        <v>232</v>
      </c>
      <c r="AE80" t="s">
        <v>352</v>
      </c>
    </row>
    <row r="81" spans="1:31" x14ac:dyDescent="0.2">
      <c r="A81" s="1">
        <v>1040079</v>
      </c>
      <c r="B81" t="s">
        <v>115</v>
      </c>
      <c r="C81">
        <v>4</v>
      </c>
      <c r="D81">
        <v>14</v>
      </c>
      <c r="F81" t="s">
        <v>622</v>
      </c>
      <c r="G81" t="s">
        <v>622</v>
      </c>
      <c r="H81" t="s">
        <v>629</v>
      </c>
      <c r="I81" t="s">
        <v>629</v>
      </c>
      <c r="J81" t="s">
        <v>622</v>
      </c>
      <c r="K81" t="s">
        <v>622</v>
      </c>
      <c r="L81" t="s">
        <v>650</v>
      </c>
      <c r="M81" t="s">
        <v>632</v>
      </c>
      <c r="N81" t="s">
        <v>622</v>
      </c>
      <c r="O81" t="s">
        <v>622</v>
      </c>
      <c r="P81" t="s">
        <v>921</v>
      </c>
      <c r="Q81" t="s">
        <v>950</v>
      </c>
      <c r="R81" t="s">
        <v>179</v>
      </c>
      <c r="S81" t="s">
        <v>969</v>
      </c>
      <c r="T81" t="s">
        <v>796</v>
      </c>
      <c r="U81" t="s">
        <v>541</v>
      </c>
    </row>
    <row r="82" spans="1:31" x14ac:dyDescent="0.2">
      <c r="A82" s="1">
        <v>1040080</v>
      </c>
      <c r="B82" t="s">
        <v>118</v>
      </c>
      <c r="C82">
        <v>4</v>
      </c>
      <c r="D82">
        <v>0</v>
      </c>
      <c r="E82">
        <v>1</v>
      </c>
      <c r="F82" t="s">
        <v>622</v>
      </c>
      <c r="G82" t="s">
        <v>634</v>
      </c>
      <c r="H82" t="s">
        <v>622</v>
      </c>
      <c r="I82" t="s">
        <v>622</v>
      </c>
      <c r="J82" t="s">
        <v>622</v>
      </c>
      <c r="K82" t="s">
        <v>622</v>
      </c>
      <c r="L82" t="s">
        <v>622</v>
      </c>
      <c r="M82" t="s">
        <v>622</v>
      </c>
      <c r="N82" t="s">
        <v>622</v>
      </c>
      <c r="O82" t="s">
        <v>622</v>
      </c>
      <c r="P82" t="s">
        <v>922</v>
      </c>
      <c r="Q82" t="s">
        <v>261</v>
      </c>
      <c r="R82" t="s">
        <v>515</v>
      </c>
      <c r="S82" t="s">
        <v>970</v>
      </c>
      <c r="T82" t="s">
        <v>118</v>
      </c>
      <c r="U82" t="s">
        <v>1009</v>
      </c>
      <c r="AE82" t="s">
        <v>223</v>
      </c>
    </row>
    <row r="83" spans="1:31" x14ac:dyDescent="0.2">
      <c r="A83" s="1">
        <v>1040081</v>
      </c>
      <c r="B83" t="s">
        <v>124</v>
      </c>
      <c r="C83">
        <v>4</v>
      </c>
      <c r="D83">
        <v>1</v>
      </c>
      <c r="E83">
        <v>1</v>
      </c>
      <c r="F83" t="s">
        <v>622</v>
      </c>
      <c r="G83" t="s">
        <v>634</v>
      </c>
      <c r="H83" t="s">
        <v>622</v>
      </c>
      <c r="I83" t="s">
        <v>622</v>
      </c>
      <c r="J83" t="s">
        <v>622</v>
      </c>
      <c r="K83" t="s">
        <v>622</v>
      </c>
      <c r="L83" t="s">
        <v>622</v>
      </c>
      <c r="M83" t="s">
        <v>622</v>
      </c>
      <c r="N83" t="s">
        <v>622</v>
      </c>
      <c r="O83" t="s">
        <v>622</v>
      </c>
      <c r="P83" t="s">
        <v>932</v>
      </c>
      <c r="Q83" t="s">
        <v>680</v>
      </c>
      <c r="R83" t="s">
        <v>235</v>
      </c>
      <c r="S83" t="s">
        <v>971</v>
      </c>
      <c r="T83" t="s">
        <v>797</v>
      </c>
      <c r="U83" t="s">
        <v>542</v>
      </c>
      <c r="AE83" t="s">
        <v>224</v>
      </c>
    </row>
    <row r="84" spans="1:31" x14ac:dyDescent="0.2">
      <c r="A84" s="1">
        <v>1040082</v>
      </c>
      <c r="B84" t="s">
        <v>126</v>
      </c>
      <c r="C84">
        <v>4</v>
      </c>
      <c r="D84">
        <v>9</v>
      </c>
      <c r="E84">
        <v>0</v>
      </c>
      <c r="F84" t="s">
        <v>637</v>
      </c>
      <c r="G84" t="s">
        <v>622</v>
      </c>
      <c r="H84" t="s">
        <v>622</v>
      </c>
      <c r="I84" t="s">
        <v>622</v>
      </c>
      <c r="J84" t="s">
        <v>622</v>
      </c>
      <c r="K84" t="s">
        <v>622</v>
      </c>
      <c r="L84" t="s">
        <v>622</v>
      </c>
      <c r="M84" t="s">
        <v>622</v>
      </c>
      <c r="N84" t="s">
        <v>622</v>
      </c>
      <c r="O84" t="s">
        <v>622</v>
      </c>
      <c r="P84" t="s">
        <v>933</v>
      </c>
      <c r="Q84" t="s">
        <v>707</v>
      </c>
      <c r="R84" t="s">
        <v>956</v>
      </c>
      <c r="S84" t="s">
        <v>972</v>
      </c>
      <c r="T84" t="s">
        <v>798</v>
      </c>
      <c r="U84" t="s">
        <v>199</v>
      </c>
    </row>
    <row r="85" spans="1:31" x14ac:dyDescent="0.2">
      <c r="A85" s="1">
        <v>1040083</v>
      </c>
      <c r="B85" t="s">
        <v>128</v>
      </c>
      <c r="C85">
        <v>4</v>
      </c>
      <c r="D85">
        <v>11</v>
      </c>
      <c r="E85">
        <v>1</v>
      </c>
      <c r="F85" t="s">
        <v>622</v>
      </c>
      <c r="G85" t="s">
        <v>634</v>
      </c>
      <c r="H85" t="s">
        <v>622</v>
      </c>
      <c r="I85" t="s">
        <v>622</v>
      </c>
      <c r="J85" t="s">
        <v>622</v>
      </c>
      <c r="K85" t="s">
        <v>622</v>
      </c>
      <c r="L85" t="s">
        <v>622</v>
      </c>
      <c r="M85" t="s">
        <v>622</v>
      </c>
      <c r="N85" t="s">
        <v>622</v>
      </c>
      <c r="O85" t="s">
        <v>622</v>
      </c>
      <c r="P85" t="s">
        <v>934</v>
      </c>
      <c r="Q85" t="s">
        <v>699</v>
      </c>
      <c r="R85" t="s">
        <v>507</v>
      </c>
      <c r="S85" t="s">
        <v>973</v>
      </c>
      <c r="T85" t="s">
        <v>799</v>
      </c>
      <c r="U85" t="s">
        <v>170</v>
      </c>
    </row>
    <row r="86" spans="1:31" x14ac:dyDescent="0.2">
      <c r="A86" s="1">
        <v>1040084</v>
      </c>
      <c r="B86" t="s">
        <v>130</v>
      </c>
      <c r="C86">
        <v>4</v>
      </c>
      <c r="D86">
        <v>16</v>
      </c>
      <c r="F86" t="s">
        <v>622</v>
      </c>
      <c r="G86" t="s">
        <v>622</v>
      </c>
      <c r="H86" t="s">
        <v>622</v>
      </c>
      <c r="I86" t="s">
        <v>622</v>
      </c>
      <c r="J86" t="s">
        <v>622</v>
      </c>
      <c r="K86" t="s">
        <v>622</v>
      </c>
      <c r="L86" t="s">
        <v>622</v>
      </c>
      <c r="M86" t="s">
        <v>622</v>
      </c>
      <c r="N86" t="s">
        <v>623</v>
      </c>
      <c r="O86" t="s">
        <v>632</v>
      </c>
      <c r="P86" t="s">
        <v>935</v>
      </c>
      <c r="Q86" t="s">
        <v>682</v>
      </c>
      <c r="R86" t="s">
        <v>957</v>
      </c>
      <c r="S86" t="s">
        <v>524</v>
      </c>
      <c r="T86" t="s">
        <v>800</v>
      </c>
      <c r="U86" t="s">
        <v>543</v>
      </c>
    </row>
    <row r="87" spans="1:31" x14ac:dyDescent="0.2">
      <c r="A87" s="1">
        <v>1040085</v>
      </c>
      <c r="B87" t="s">
        <v>132</v>
      </c>
      <c r="C87">
        <v>4</v>
      </c>
      <c r="D87">
        <v>0</v>
      </c>
      <c r="E87">
        <v>0</v>
      </c>
      <c r="F87" t="s">
        <v>634</v>
      </c>
      <c r="G87" t="s">
        <v>622</v>
      </c>
      <c r="H87" t="s">
        <v>622</v>
      </c>
      <c r="I87" t="s">
        <v>622</v>
      </c>
      <c r="J87" t="s">
        <v>622</v>
      </c>
      <c r="K87" t="s">
        <v>622</v>
      </c>
      <c r="L87" t="s">
        <v>622</v>
      </c>
      <c r="M87" t="s">
        <v>622</v>
      </c>
      <c r="N87" t="s">
        <v>622</v>
      </c>
      <c r="O87" t="s">
        <v>622</v>
      </c>
      <c r="P87" t="s">
        <v>936</v>
      </c>
      <c r="Q87" t="s">
        <v>707</v>
      </c>
      <c r="R87" t="s">
        <v>506</v>
      </c>
      <c r="S87" t="s">
        <v>525</v>
      </c>
      <c r="T87" t="s">
        <v>778</v>
      </c>
      <c r="U87" t="s">
        <v>544</v>
      </c>
    </row>
    <row r="88" spans="1:31" x14ac:dyDescent="0.2">
      <c r="A88" s="1">
        <v>1040086</v>
      </c>
      <c r="B88" t="s">
        <v>134</v>
      </c>
      <c r="C88">
        <v>4</v>
      </c>
      <c r="D88">
        <v>13</v>
      </c>
      <c r="F88" t="s">
        <v>622</v>
      </c>
      <c r="G88" t="s">
        <v>622</v>
      </c>
      <c r="H88" t="s">
        <v>622</v>
      </c>
      <c r="I88" t="s">
        <v>622</v>
      </c>
      <c r="J88" t="s">
        <v>629</v>
      </c>
      <c r="K88" t="s">
        <v>629</v>
      </c>
      <c r="L88" t="s">
        <v>622</v>
      </c>
      <c r="M88" t="s">
        <v>622</v>
      </c>
      <c r="N88" t="s">
        <v>625</v>
      </c>
      <c r="O88" t="s">
        <v>625</v>
      </c>
      <c r="P88" t="s">
        <v>937</v>
      </c>
      <c r="Q88" t="s">
        <v>714</v>
      </c>
      <c r="R88" t="s">
        <v>958</v>
      </c>
      <c r="S88" t="s">
        <v>974</v>
      </c>
      <c r="T88" t="s">
        <v>776</v>
      </c>
      <c r="U88" t="s">
        <v>193</v>
      </c>
    </row>
    <row r="89" spans="1:31" x14ac:dyDescent="0.2">
      <c r="A89" s="1">
        <v>1040087</v>
      </c>
      <c r="B89" t="s">
        <v>137</v>
      </c>
      <c r="C89">
        <v>4</v>
      </c>
      <c r="D89">
        <v>14</v>
      </c>
      <c r="F89" t="s">
        <v>622</v>
      </c>
      <c r="G89" t="s">
        <v>622</v>
      </c>
      <c r="H89" t="s">
        <v>629</v>
      </c>
      <c r="I89" t="s">
        <v>629</v>
      </c>
      <c r="J89" t="s">
        <v>622</v>
      </c>
      <c r="K89" t="s">
        <v>622</v>
      </c>
      <c r="L89" t="s">
        <v>629</v>
      </c>
      <c r="M89" t="s">
        <v>631</v>
      </c>
      <c r="N89" t="s">
        <v>622</v>
      </c>
      <c r="O89" t="s">
        <v>622</v>
      </c>
      <c r="P89" t="s">
        <v>915</v>
      </c>
      <c r="Q89" t="s">
        <v>682</v>
      </c>
      <c r="R89" t="s">
        <v>508</v>
      </c>
      <c r="S89" t="s">
        <v>975</v>
      </c>
      <c r="T89" t="s">
        <v>774</v>
      </c>
      <c r="U89" t="s">
        <v>154</v>
      </c>
    </row>
    <row r="90" spans="1:31" x14ac:dyDescent="0.2">
      <c r="A90" s="1">
        <v>1040088</v>
      </c>
      <c r="B90" t="s">
        <v>138</v>
      </c>
      <c r="C90">
        <v>4</v>
      </c>
      <c r="D90">
        <v>15</v>
      </c>
      <c r="F90" t="s">
        <v>622</v>
      </c>
      <c r="G90" t="s">
        <v>622</v>
      </c>
      <c r="H90" t="s">
        <v>629</v>
      </c>
      <c r="I90" t="s">
        <v>629</v>
      </c>
      <c r="J90" t="s">
        <v>622</v>
      </c>
      <c r="K90" t="s">
        <v>622</v>
      </c>
      <c r="L90" t="s">
        <v>629</v>
      </c>
      <c r="M90" t="s">
        <v>631</v>
      </c>
      <c r="N90" t="s">
        <v>622</v>
      </c>
      <c r="O90" t="s">
        <v>622</v>
      </c>
      <c r="P90" t="s">
        <v>915</v>
      </c>
      <c r="Q90" t="s">
        <v>682</v>
      </c>
      <c r="R90" t="s">
        <v>508</v>
      </c>
      <c r="S90" t="s">
        <v>526</v>
      </c>
      <c r="T90" t="s">
        <v>772</v>
      </c>
      <c r="U90" t="s">
        <v>545</v>
      </c>
    </row>
    <row r="91" spans="1:31" x14ac:dyDescent="0.2">
      <c r="A91" s="1">
        <v>1040089</v>
      </c>
      <c r="B91" t="s">
        <v>122</v>
      </c>
      <c r="C91">
        <v>4</v>
      </c>
      <c r="D91">
        <v>9</v>
      </c>
      <c r="E91">
        <v>0</v>
      </c>
      <c r="F91" t="s">
        <v>637</v>
      </c>
      <c r="G91" t="s">
        <v>622</v>
      </c>
      <c r="H91" t="s">
        <v>622</v>
      </c>
      <c r="I91" t="s">
        <v>622</v>
      </c>
      <c r="J91" t="s">
        <v>622</v>
      </c>
      <c r="K91" t="s">
        <v>622</v>
      </c>
      <c r="L91" t="s">
        <v>622</v>
      </c>
      <c r="M91" t="s">
        <v>622</v>
      </c>
      <c r="N91" t="s">
        <v>622</v>
      </c>
      <c r="O91" t="s">
        <v>622</v>
      </c>
      <c r="P91" t="s">
        <v>938</v>
      </c>
      <c r="Q91" t="s">
        <v>679</v>
      </c>
      <c r="R91" t="s">
        <v>959</v>
      </c>
      <c r="S91" t="s">
        <v>520</v>
      </c>
      <c r="T91" t="s">
        <v>789</v>
      </c>
      <c r="U91" t="s">
        <v>535</v>
      </c>
    </row>
    <row r="92" spans="1:31" x14ac:dyDescent="0.2">
      <c r="A92" s="1">
        <v>1040090</v>
      </c>
      <c r="B92" t="s">
        <v>78</v>
      </c>
      <c r="C92">
        <v>5</v>
      </c>
      <c r="D92">
        <v>13</v>
      </c>
      <c r="F92" t="s">
        <v>622</v>
      </c>
      <c r="G92" t="s">
        <v>622</v>
      </c>
      <c r="H92" t="s">
        <v>622</v>
      </c>
      <c r="I92" t="s">
        <v>622</v>
      </c>
      <c r="J92" t="s">
        <v>642</v>
      </c>
      <c r="K92" t="s">
        <v>642</v>
      </c>
      <c r="L92" t="s">
        <v>622</v>
      </c>
      <c r="M92" t="s">
        <v>622</v>
      </c>
      <c r="N92" t="s">
        <v>635</v>
      </c>
      <c r="O92" t="s">
        <v>622</v>
      </c>
      <c r="P92" t="s">
        <v>939</v>
      </c>
      <c r="Q92" t="s">
        <v>698</v>
      </c>
      <c r="R92" t="s">
        <v>509</v>
      </c>
      <c r="S92" t="s">
        <v>976</v>
      </c>
      <c r="T92" t="s">
        <v>783</v>
      </c>
      <c r="U92" t="s">
        <v>546</v>
      </c>
      <c r="V92" t="s">
        <v>1010</v>
      </c>
      <c r="W92" t="s">
        <v>1022</v>
      </c>
      <c r="X92" t="s">
        <v>556</v>
      </c>
      <c r="AE92" t="s">
        <v>353</v>
      </c>
    </row>
    <row r="93" spans="1:31" x14ac:dyDescent="0.2">
      <c r="A93" s="1">
        <v>1040091</v>
      </c>
      <c r="B93" t="s">
        <v>96</v>
      </c>
      <c r="C93">
        <v>5</v>
      </c>
      <c r="D93">
        <v>1</v>
      </c>
      <c r="E93">
        <v>1</v>
      </c>
      <c r="F93" t="s">
        <v>622</v>
      </c>
      <c r="G93" t="s">
        <v>638</v>
      </c>
      <c r="H93" t="s">
        <v>622</v>
      </c>
      <c r="I93" t="s">
        <v>622</v>
      </c>
      <c r="J93" t="s">
        <v>622</v>
      </c>
      <c r="K93" t="s">
        <v>622</v>
      </c>
      <c r="L93" t="s">
        <v>622</v>
      </c>
      <c r="M93" t="s">
        <v>622</v>
      </c>
      <c r="N93" t="s">
        <v>622</v>
      </c>
      <c r="O93" t="s">
        <v>622</v>
      </c>
      <c r="P93" t="s">
        <v>940</v>
      </c>
      <c r="Q93" t="s">
        <v>680</v>
      </c>
      <c r="R93" t="s">
        <v>230</v>
      </c>
      <c r="S93" t="s">
        <v>527</v>
      </c>
      <c r="T93" t="s">
        <v>801</v>
      </c>
      <c r="U93" t="s">
        <v>231</v>
      </c>
      <c r="AE93" t="s">
        <v>217</v>
      </c>
    </row>
    <row r="94" spans="1:31" x14ac:dyDescent="0.2">
      <c r="A94" s="1">
        <v>1040092</v>
      </c>
      <c r="B94" t="s">
        <v>100</v>
      </c>
      <c r="C94">
        <v>5</v>
      </c>
      <c r="D94">
        <v>10</v>
      </c>
      <c r="E94">
        <v>0</v>
      </c>
      <c r="F94" t="s">
        <v>638</v>
      </c>
      <c r="G94" t="s">
        <v>622</v>
      </c>
      <c r="H94" t="s">
        <v>622</v>
      </c>
      <c r="I94" t="s">
        <v>622</v>
      </c>
      <c r="J94" t="s">
        <v>622</v>
      </c>
      <c r="K94" t="s">
        <v>622</v>
      </c>
      <c r="L94" t="s">
        <v>622</v>
      </c>
      <c r="M94" t="s">
        <v>622</v>
      </c>
      <c r="N94" t="s">
        <v>622</v>
      </c>
      <c r="O94" t="s">
        <v>622</v>
      </c>
      <c r="P94" t="s">
        <v>936</v>
      </c>
      <c r="Q94" t="s">
        <v>707</v>
      </c>
      <c r="R94" t="s">
        <v>506</v>
      </c>
      <c r="S94" t="s">
        <v>977</v>
      </c>
      <c r="T94" t="s">
        <v>802</v>
      </c>
      <c r="U94" t="s">
        <v>547</v>
      </c>
      <c r="V94" t="s">
        <v>1011</v>
      </c>
      <c r="W94" t="s">
        <v>1023</v>
      </c>
      <c r="X94" t="s">
        <v>557</v>
      </c>
      <c r="AE94" t="s">
        <v>205</v>
      </c>
    </row>
    <row r="95" spans="1:31" x14ac:dyDescent="0.2">
      <c r="A95" s="1">
        <v>1040093</v>
      </c>
      <c r="B95" t="s">
        <v>109</v>
      </c>
      <c r="C95">
        <v>5</v>
      </c>
      <c r="D95">
        <v>3</v>
      </c>
      <c r="E95">
        <v>0</v>
      </c>
      <c r="F95" t="s">
        <v>648</v>
      </c>
      <c r="G95" t="s">
        <v>622</v>
      </c>
      <c r="H95" t="s">
        <v>622</v>
      </c>
      <c r="I95" t="s">
        <v>622</v>
      </c>
      <c r="J95" t="s">
        <v>622</v>
      </c>
      <c r="K95" t="s">
        <v>622</v>
      </c>
      <c r="L95" t="s">
        <v>622</v>
      </c>
      <c r="M95" t="s">
        <v>622</v>
      </c>
      <c r="N95" t="s">
        <v>622</v>
      </c>
      <c r="O95" t="s">
        <v>622</v>
      </c>
      <c r="Q95" t="s">
        <v>676</v>
      </c>
      <c r="R95" t="s">
        <v>888</v>
      </c>
      <c r="S95" t="s">
        <v>978</v>
      </c>
      <c r="T95" t="s">
        <v>803</v>
      </c>
      <c r="U95" t="s">
        <v>548</v>
      </c>
      <c r="V95" t="s">
        <v>553</v>
      </c>
      <c r="W95" t="s">
        <v>1024</v>
      </c>
      <c r="X95" t="s">
        <v>558</v>
      </c>
      <c r="AE95" t="s">
        <v>354</v>
      </c>
    </row>
    <row r="96" spans="1:31" x14ac:dyDescent="0.2">
      <c r="A96" s="1">
        <v>1040094</v>
      </c>
      <c r="B96" t="s">
        <v>113</v>
      </c>
      <c r="C96">
        <v>5</v>
      </c>
      <c r="D96">
        <v>11</v>
      </c>
      <c r="E96">
        <v>1</v>
      </c>
      <c r="F96" t="s">
        <v>622</v>
      </c>
      <c r="G96" t="s">
        <v>651</v>
      </c>
      <c r="H96" t="s">
        <v>622</v>
      </c>
      <c r="I96" t="s">
        <v>622</v>
      </c>
      <c r="J96" t="s">
        <v>622</v>
      </c>
      <c r="K96" t="s">
        <v>622</v>
      </c>
      <c r="L96" t="s">
        <v>622</v>
      </c>
      <c r="M96" t="s">
        <v>622</v>
      </c>
      <c r="N96" t="s">
        <v>622</v>
      </c>
      <c r="O96" t="s">
        <v>622</v>
      </c>
      <c r="P96" t="s">
        <v>920</v>
      </c>
      <c r="Q96" t="s">
        <v>713</v>
      </c>
      <c r="R96" t="s">
        <v>278</v>
      </c>
      <c r="S96" t="s">
        <v>528</v>
      </c>
      <c r="T96" t="s">
        <v>804</v>
      </c>
      <c r="U96" t="s">
        <v>233</v>
      </c>
      <c r="V96" t="s">
        <v>1012</v>
      </c>
      <c r="W96" t="s">
        <v>1025</v>
      </c>
      <c r="X96" t="s">
        <v>234</v>
      </c>
      <c r="AE96" t="s">
        <v>355</v>
      </c>
    </row>
    <row r="97" spans="1:31" x14ac:dyDescent="0.2">
      <c r="A97" s="1">
        <v>1040095</v>
      </c>
      <c r="B97" t="s">
        <v>123</v>
      </c>
      <c r="C97">
        <v>5</v>
      </c>
      <c r="D97">
        <v>1</v>
      </c>
      <c r="E97">
        <v>1</v>
      </c>
      <c r="F97" t="s">
        <v>622</v>
      </c>
      <c r="G97" t="s">
        <v>638</v>
      </c>
      <c r="H97" t="s">
        <v>622</v>
      </c>
      <c r="I97" t="s">
        <v>622</v>
      </c>
      <c r="J97" t="s">
        <v>622</v>
      </c>
      <c r="K97" t="s">
        <v>622</v>
      </c>
      <c r="L97" t="s">
        <v>622</v>
      </c>
      <c r="M97" t="s">
        <v>622</v>
      </c>
      <c r="N97" t="s">
        <v>622</v>
      </c>
      <c r="O97" t="s">
        <v>622</v>
      </c>
      <c r="P97" t="s">
        <v>932</v>
      </c>
      <c r="Q97" t="s">
        <v>680</v>
      </c>
      <c r="R97" t="s">
        <v>235</v>
      </c>
      <c r="S97" t="s">
        <v>529</v>
      </c>
      <c r="T97" t="s">
        <v>805</v>
      </c>
      <c r="U97" t="s">
        <v>549</v>
      </c>
      <c r="V97" t="s">
        <v>1013</v>
      </c>
      <c r="W97" t="s">
        <v>1026</v>
      </c>
      <c r="X97" t="s">
        <v>542</v>
      </c>
      <c r="AE97" t="s">
        <v>206</v>
      </c>
    </row>
    <row r="98" spans="1:31" x14ac:dyDescent="0.2">
      <c r="A98" s="1">
        <v>1040096</v>
      </c>
      <c r="B98" t="s">
        <v>125</v>
      </c>
      <c r="C98">
        <v>5</v>
      </c>
      <c r="D98">
        <v>9</v>
      </c>
      <c r="E98">
        <v>0</v>
      </c>
      <c r="F98" t="s">
        <v>638</v>
      </c>
      <c r="G98" t="s">
        <v>622</v>
      </c>
      <c r="H98" t="s">
        <v>622</v>
      </c>
      <c r="I98" t="s">
        <v>622</v>
      </c>
      <c r="J98" t="s">
        <v>622</v>
      </c>
      <c r="K98" t="s">
        <v>622</v>
      </c>
      <c r="L98" t="s">
        <v>622</v>
      </c>
      <c r="M98" t="s">
        <v>622</v>
      </c>
      <c r="N98" t="s">
        <v>622</v>
      </c>
      <c r="O98" t="s">
        <v>622</v>
      </c>
      <c r="P98" t="s">
        <v>936</v>
      </c>
      <c r="Q98" t="s">
        <v>707</v>
      </c>
      <c r="R98" t="s">
        <v>506</v>
      </c>
      <c r="S98" t="s">
        <v>972</v>
      </c>
      <c r="T98" t="s">
        <v>798</v>
      </c>
      <c r="U98" t="s">
        <v>199</v>
      </c>
      <c r="V98" t="s">
        <v>1014</v>
      </c>
      <c r="W98" t="s">
        <v>1027</v>
      </c>
      <c r="X98" t="s">
        <v>200</v>
      </c>
      <c r="AE98" t="s">
        <v>300</v>
      </c>
    </row>
    <row r="99" spans="1:31" x14ac:dyDescent="0.2">
      <c r="A99" s="1">
        <v>1040097</v>
      </c>
      <c r="B99" t="s">
        <v>127</v>
      </c>
      <c r="C99">
        <v>5</v>
      </c>
      <c r="D99">
        <v>11</v>
      </c>
      <c r="E99">
        <v>1</v>
      </c>
      <c r="F99" t="s">
        <v>622</v>
      </c>
      <c r="G99" t="s">
        <v>638</v>
      </c>
      <c r="H99" t="s">
        <v>622</v>
      </c>
      <c r="I99" t="s">
        <v>622</v>
      </c>
      <c r="J99" t="s">
        <v>622</v>
      </c>
      <c r="K99" t="s">
        <v>622</v>
      </c>
      <c r="L99" t="s">
        <v>622</v>
      </c>
      <c r="M99" t="s">
        <v>622</v>
      </c>
      <c r="N99" t="s">
        <v>622</v>
      </c>
      <c r="O99" t="s">
        <v>622</v>
      </c>
      <c r="P99" t="s">
        <v>934</v>
      </c>
      <c r="Q99" t="s">
        <v>699</v>
      </c>
      <c r="R99" t="s">
        <v>507</v>
      </c>
      <c r="S99" t="s">
        <v>973</v>
      </c>
      <c r="T99" t="s">
        <v>799</v>
      </c>
      <c r="U99" t="s">
        <v>170</v>
      </c>
      <c r="V99" t="s">
        <v>554</v>
      </c>
      <c r="W99" t="s">
        <v>1028</v>
      </c>
      <c r="X99" t="s">
        <v>236</v>
      </c>
      <c r="AE99" t="s">
        <v>301</v>
      </c>
    </row>
    <row r="100" spans="1:31" x14ac:dyDescent="0.2">
      <c r="A100" s="1">
        <v>1040098</v>
      </c>
      <c r="B100" t="s">
        <v>129</v>
      </c>
      <c r="C100">
        <v>5</v>
      </c>
      <c r="D100">
        <v>16</v>
      </c>
      <c r="F100" t="s">
        <v>622</v>
      </c>
      <c r="G100" t="s">
        <v>622</v>
      </c>
      <c r="H100" t="s">
        <v>622</v>
      </c>
      <c r="I100" t="s">
        <v>622</v>
      </c>
      <c r="J100" t="s">
        <v>622</v>
      </c>
      <c r="K100" t="s">
        <v>622</v>
      </c>
      <c r="L100" t="s">
        <v>622</v>
      </c>
      <c r="M100" t="s">
        <v>622</v>
      </c>
      <c r="N100" t="s">
        <v>652</v>
      </c>
      <c r="O100" t="s">
        <v>635</v>
      </c>
      <c r="P100" t="s">
        <v>941</v>
      </c>
      <c r="Q100" t="s">
        <v>682</v>
      </c>
      <c r="R100" t="s">
        <v>510</v>
      </c>
      <c r="S100" t="s">
        <v>524</v>
      </c>
      <c r="T100" t="s">
        <v>800</v>
      </c>
      <c r="U100" t="s">
        <v>550</v>
      </c>
      <c r="V100" t="s">
        <v>1015</v>
      </c>
      <c r="W100" t="s">
        <v>1029</v>
      </c>
      <c r="X100" t="s">
        <v>198</v>
      </c>
    </row>
    <row r="101" spans="1:31" x14ac:dyDescent="0.2">
      <c r="A101" s="1">
        <v>1040099</v>
      </c>
      <c r="B101" t="s">
        <v>131</v>
      </c>
      <c r="C101">
        <v>5</v>
      </c>
      <c r="D101">
        <v>3</v>
      </c>
      <c r="E101">
        <v>0</v>
      </c>
      <c r="F101" t="s">
        <v>638</v>
      </c>
      <c r="G101" t="s">
        <v>622</v>
      </c>
      <c r="H101" t="s">
        <v>622</v>
      </c>
      <c r="I101" t="s">
        <v>622</v>
      </c>
      <c r="J101" t="s">
        <v>622</v>
      </c>
      <c r="K101" t="s">
        <v>622</v>
      </c>
      <c r="L101" t="s">
        <v>622</v>
      </c>
      <c r="M101" t="s">
        <v>622</v>
      </c>
      <c r="N101" t="s">
        <v>622</v>
      </c>
      <c r="O101" t="s">
        <v>622</v>
      </c>
      <c r="P101" t="s">
        <v>936</v>
      </c>
      <c r="Q101" t="s">
        <v>707</v>
      </c>
      <c r="R101" t="s">
        <v>506</v>
      </c>
      <c r="S101" t="s">
        <v>525</v>
      </c>
      <c r="T101" t="s">
        <v>778</v>
      </c>
      <c r="U101" t="s">
        <v>195</v>
      </c>
      <c r="V101" t="s">
        <v>1016</v>
      </c>
      <c r="W101" t="s">
        <v>1030</v>
      </c>
      <c r="X101" t="s">
        <v>196</v>
      </c>
      <c r="AE101" t="s">
        <v>356</v>
      </c>
    </row>
    <row r="102" spans="1:31" x14ac:dyDescent="0.2">
      <c r="A102" s="1">
        <v>1040100</v>
      </c>
      <c r="B102" t="s">
        <v>133</v>
      </c>
      <c r="C102">
        <v>5</v>
      </c>
      <c r="D102">
        <v>13</v>
      </c>
      <c r="F102" t="s">
        <v>622</v>
      </c>
      <c r="G102" t="s">
        <v>622</v>
      </c>
      <c r="H102" t="s">
        <v>622</v>
      </c>
      <c r="I102" t="s">
        <v>622</v>
      </c>
      <c r="J102" t="s">
        <v>653</v>
      </c>
      <c r="K102" t="s">
        <v>653</v>
      </c>
      <c r="L102" t="s">
        <v>622</v>
      </c>
      <c r="M102" t="s">
        <v>622</v>
      </c>
      <c r="N102" t="s">
        <v>632</v>
      </c>
      <c r="O102" t="s">
        <v>622</v>
      </c>
      <c r="P102" t="s">
        <v>942</v>
      </c>
      <c r="Q102" t="s">
        <v>714</v>
      </c>
      <c r="R102" t="s">
        <v>511</v>
      </c>
      <c r="S102" t="s">
        <v>974</v>
      </c>
      <c r="T102" t="s">
        <v>776</v>
      </c>
      <c r="U102" t="s">
        <v>193</v>
      </c>
      <c r="V102" t="s">
        <v>555</v>
      </c>
      <c r="W102" t="s">
        <v>1031</v>
      </c>
      <c r="X102" t="s">
        <v>559</v>
      </c>
    </row>
    <row r="103" spans="1:31" x14ac:dyDescent="0.2">
      <c r="A103" s="1">
        <v>1040101</v>
      </c>
      <c r="B103" t="s">
        <v>135</v>
      </c>
      <c r="C103">
        <v>5</v>
      </c>
      <c r="D103">
        <v>14</v>
      </c>
      <c r="F103" t="s">
        <v>622</v>
      </c>
      <c r="G103" t="s">
        <v>622</v>
      </c>
      <c r="H103" t="s">
        <v>654</v>
      </c>
      <c r="I103" t="s">
        <v>650</v>
      </c>
      <c r="J103" t="s">
        <v>622</v>
      </c>
      <c r="K103" t="s">
        <v>622</v>
      </c>
      <c r="L103" t="s">
        <v>655</v>
      </c>
      <c r="M103" t="s">
        <v>641</v>
      </c>
      <c r="N103" t="s">
        <v>622</v>
      </c>
      <c r="O103" t="s">
        <v>622</v>
      </c>
      <c r="P103" t="s">
        <v>943</v>
      </c>
      <c r="Q103" t="s">
        <v>682</v>
      </c>
      <c r="R103" t="s">
        <v>512</v>
      </c>
      <c r="S103" t="s">
        <v>975</v>
      </c>
      <c r="T103" t="s">
        <v>774</v>
      </c>
      <c r="U103" t="s">
        <v>551</v>
      </c>
      <c r="V103" t="s">
        <v>1017</v>
      </c>
      <c r="W103" t="s">
        <v>1032</v>
      </c>
      <c r="X103" t="s">
        <v>560</v>
      </c>
    </row>
    <row r="104" spans="1:31" x14ac:dyDescent="0.2">
      <c r="A104" s="1">
        <v>1040102</v>
      </c>
      <c r="B104" t="s">
        <v>136</v>
      </c>
      <c r="C104">
        <v>5</v>
      </c>
      <c r="D104">
        <v>15</v>
      </c>
      <c r="F104" t="s">
        <v>622</v>
      </c>
      <c r="G104" t="s">
        <v>622</v>
      </c>
      <c r="H104" t="s">
        <v>650</v>
      </c>
      <c r="I104" t="s">
        <v>656</v>
      </c>
      <c r="J104" t="s">
        <v>622</v>
      </c>
      <c r="K104" t="s">
        <v>622</v>
      </c>
      <c r="L104" t="s">
        <v>641</v>
      </c>
      <c r="M104" t="s">
        <v>641</v>
      </c>
      <c r="N104" t="s">
        <v>622</v>
      </c>
      <c r="O104" t="s">
        <v>622</v>
      </c>
      <c r="P104" t="s">
        <v>944</v>
      </c>
      <c r="Q104" t="s">
        <v>682</v>
      </c>
      <c r="R104" t="s">
        <v>513</v>
      </c>
      <c r="S104" t="s">
        <v>979</v>
      </c>
      <c r="T104" t="s">
        <v>772</v>
      </c>
      <c r="U104" t="s">
        <v>552</v>
      </c>
      <c r="V104" t="s">
        <v>1018</v>
      </c>
      <c r="W104" t="s">
        <v>1033</v>
      </c>
      <c r="X104" t="s">
        <v>561</v>
      </c>
    </row>
    <row r="105" spans="1:31" x14ac:dyDescent="0.2">
      <c r="A105" s="1">
        <v>1040103</v>
      </c>
      <c r="B105" t="s">
        <v>584</v>
      </c>
      <c r="C105">
        <v>2</v>
      </c>
      <c r="D105">
        <v>0</v>
      </c>
      <c r="E105">
        <v>0</v>
      </c>
      <c r="F105" t="s">
        <v>628</v>
      </c>
      <c r="G105" t="s">
        <v>622</v>
      </c>
      <c r="H105" t="s">
        <v>622</v>
      </c>
      <c r="I105" t="s">
        <v>622</v>
      </c>
      <c r="J105" t="s">
        <v>622</v>
      </c>
      <c r="K105" t="s">
        <v>622</v>
      </c>
      <c r="L105" t="s">
        <v>622</v>
      </c>
      <c r="M105" t="s">
        <v>622</v>
      </c>
      <c r="N105" t="s">
        <v>622</v>
      </c>
      <c r="O105" t="s">
        <v>622</v>
      </c>
      <c r="R105" t="s">
        <v>408</v>
      </c>
      <c r="AE105" t="s">
        <v>374</v>
      </c>
    </row>
    <row r="106" spans="1:31" x14ac:dyDescent="0.2">
      <c r="A106" s="1">
        <v>1040104</v>
      </c>
      <c r="B106" t="s">
        <v>586</v>
      </c>
      <c r="C106">
        <v>2</v>
      </c>
      <c r="D106">
        <v>1</v>
      </c>
      <c r="E106">
        <v>1</v>
      </c>
      <c r="F106" t="s">
        <v>622</v>
      </c>
      <c r="G106" t="s">
        <v>628</v>
      </c>
      <c r="H106" t="s">
        <v>622</v>
      </c>
      <c r="I106" t="s">
        <v>622</v>
      </c>
      <c r="J106" t="s">
        <v>622</v>
      </c>
      <c r="K106" t="s">
        <v>622</v>
      </c>
      <c r="L106" t="s">
        <v>622</v>
      </c>
      <c r="M106" t="s">
        <v>622</v>
      </c>
      <c r="N106" t="s">
        <v>622</v>
      </c>
      <c r="O106" t="s">
        <v>622</v>
      </c>
      <c r="R106" t="s">
        <v>406</v>
      </c>
      <c r="AE106" t="s">
        <v>375</v>
      </c>
    </row>
    <row r="107" spans="1:31" x14ac:dyDescent="0.2">
      <c r="A107" s="1">
        <v>1040105</v>
      </c>
      <c r="B107" t="s">
        <v>588</v>
      </c>
      <c r="C107">
        <v>2</v>
      </c>
      <c r="D107">
        <v>11</v>
      </c>
      <c r="E107">
        <v>1</v>
      </c>
      <c r="F107" t="s">
        <v>622</v>
      </c>
      <c r="G107" t="s">
        <v>628</v>
      </c>
      <c r="H107" t="s">
        <v>622</v>
      </c>
      <c r="I107" t="s">
        <v>622</v>
      </c>
      <c r="J107" t="s">
        <v>622</v>
      </c>
      <c r="K107" t="s">
        <v>622</v>
      </c>
      <c r="L107" t="s">
        <v>622</v>
      </c>
      <c r="M107" t="s">
        <v>622</v>
      </c>
      <c r="N107" t="s">
        <v>622</v>
      </c>
      <c r="O107" t="s">
        <v>622</v>
      </c>
      <c r="R107" t="s">
        <v>406</v>
      </c>
      <c r="AE107" t="s">
        <v>376</v>
      </c>
    </row>
    <row r="108" spans="1:31" x14ac:dyDescent="0.2">
      <c r="A108" s="1">
        <v>1040106</v>
      </c>
      <c r="B108" t="s">
        <v>590</v>
      </c>
      <c r="C108">
        <v>2</v>
      </c>
      <c r="D108">
        <v>8</v>
      </c>
      <c r="E108">
        <v>0</v>
      </c>
      <c r="F108" t="s">
        <v>628</v>
      </c>
      <c r="G108" t="s">
        <v>622</v>
      </c>
      <c r="H108" t="s">
        <v>622</v>
      </c>
      <c r="I108" t="s">
        <v>622</v>
      </c>
      <c r="J108" t="s">
        <v>622</v>
      </c>
      <c r="K108" t="s">
        <v>622</v>
      </c>
      <c r="L108" t="s">
        <v>622</v>
      </c>
      <c r="M108" t="s">
        <v>622</v>
      </c>
      <c r="N108" t="s">
        <v>622</v>
      </c>
      <c r="O108" t="s">
        <v>622</v>
      </c>
      <c r="R108" t="s">
        <v>408</v>
      </c>
      <c r="AE108" t="s">
        <v>377</v>
      </c>
    </row>
    <row r="109" spans="1:31" x14ac:dyDescent="0.2">
      <c r="A109" s="1">
        <v>1040107</v>
      </c>
      <c r="B109" t="s">
        <v>358</v>
      </c>
      <c r="C109">
        <v>2</v>
      </c>
      <c r="D109">
        <v>13</v>
      </c>
      <c r="F109" t="s">
        <v>622</v>
      </c>
      <c r="G109" t="s">
        <v>622</v>
      </c>
      <c r="H109" t="s">
        <v>622</v>
      </c>
      <c r="I109" t="s">
        <v>622</v>
      </c>
      <c r="J109" t="s">
        <v>657</v>
      </c>
      <c r="K109" t="s">
        <v>657</v>
      </c>
      <c r="L109" t="s">
        <v>622</v>
      </c>
      <c r="M109" t="s">
        <v>622</v>
      </c>
      <c r="N109" t="s">
        <v>658</v>
      </c>
      <c r="O109" t="s">
        <v>622</v>
      </c>
      <c r="R109" t="s">
        <v>408</v>
      </c>
      <c r="AE109" t="s">
        <v>378</v>
      </c>
    </row>
    <row r="110" spans="1:31" x14ac:dyDescent="0.2">
      <c r="A110" s="1">
        <v>1040108</v>
      </c>
      <c r="B110" t="s">
        <v>359</v>
      </c>
      <c r="C110">
        <v>2</v>
      </c>
      <c r="D110">
        <v>14</v>
      </c>
      <c r="F110" t="s">
        <v>622</v>
      </c>
      <c r="G110" t="s">
        <v>622</v>
      </c>
      <c r="H110" t="s">
        <v>639</v>
      </c>
      <c r="I110" t="s">
        <v>639</v>
      </c>
      <c r="J110" t="s">
        <v>622</v>
      </c>
      <c r="K110" t="s">
        <v>622</v>
      </c>
      <c r="L110" t="s">
        <v>659</v>
      </c>
      <c r="M110" t="s">
        <v>659</v>
      </c>
      <c r="N110" t="s">
        <v>622</v>
      </c>
      <c r="O110" t="s">
        <v>622</v>
      </c>
      <c r="R110" t="s">
        <v>408</v>
      </c>
      <c r="AE110" t="s">
        <v>378</v>
      </c>
    </row>
    <row r="111" spans="1:31" x14ac:dyDescent="0.2">
      <c r="A111" s="1">
        <v>1040109</v>
      </c>
      <c r="B111" t="s">
        <v>360</v>
      </c>
      <c r="C111">
        <v>2</v>
      </c>
      <c r="D111">
        <v>15</v>
      </c>
      <c r="F111" t="s">
        <v>622</v>
      </c>
      <c r="G111" t="s">
        <v>622</v>
      </c>
      <c r="H111" t="s">
        <v>639</v>
      </c>
      <c r="I111" t="s">
        <v>639</v>
      </c>
      <c r="J111" t="s">
        <v>622</v>
      </c>
      <c r="K111" t="s">
        <v>622</v>
      </c>
      <c r="L111" t="s">
        <v>659</v>
      </c>
      <c r="M111" t="s">
        <v>659</v>
      </c>
      <c r="N111" t="s">
        <v>622</v>
      </c>
      <c r="O111" t="s">
        <v>622</v>
      </c>
      <c r="R111" t="s">
        <v>408</v>
      </c>
      <c r="AE111" t="s">
        <v>378</v>
      </c>
    </row>
    <row r="112" spans="1:31" x14ac:dyDescent="0.2">
      <c r="A112" s="1">
        <v>1040110</v>
      </c>
      <c r="B112" t="s">
        <v>361</v>
      </c>
      <c r="C112">
        <v>2</v>
      </c>
      <c r="D112">
        <v>16</v>
      </c>
      <c r="F112" t="s">
        <v>622</v>
      </c>
      <c r="G112" t="s">
        <v>622</v>
      </c>
      <c r="H112" t="s">
        <v>622</v>
      </c>
      <c r="I112" t="s">
        <v>622</v>
      </c>
      <c r="J112" t="s">
        <v>622</v>
      </c>
      <c r="K112" t="s">
        <v>622</v>
      </c>
      <c r="L112" t="s">
        <v>622</v>
      </c>
      <c r="M112" t="s">
        <v>622</v>
      </c>
      <c r="N112" t="s">
        <v>658</v>
      </c>
      <c r="O112" t="s">
        <v>639</v>
      </c>
      <c r="R112" t="s">
        <v>408</v>
      </c>
      <c r="AE112" t="s">
        <v>378</v>
      </c>
    </row>
    <row r="113" spans="1:31" x14ac:dyDescent="0.2">
      <c r="A113" s="1">
        <v>1040111</v>
      </c>
      <c r="B113" t="s">
        <v>892</v>
      </c>
      <c r="C113">
        <v>3</v>
      </c>
      <c r="D113">
        <v>0</v>
      </c>
      <c r="E113">
        <v>0</v>
      </c>
      <c r="F113" t="s">
        <v>660</v>
      </c>
      <c r="G113" t="s">
        <v>622</v>
      </c>
      <c r="H113" t="s">
        <v>622</v>
      </c>
      <c r="I113" t="s">
        <v>622</v>
      </c>
      <c r="J113" t="s">
        <v>622</v>
      </c>
      <c r="K113" t="s">
        <v>622</v>
      </c>
      <c r="L113" t="s">
        <v>622</v>
      </c>
      <c r="M113" t="s">
        <v>622</v>
      </c>
      <c r="N113" t="s">
        <v>622</v>
      </c>
      <c r="O113" t="s">
        <v>622</v>
      </c>
      <c r="R113" t="s">
        <v>406</v>
      </c>
      <c r="AE113" t="s">
        <v>379</v>
      </c>
    </row>
    <row r="114" spans="1:31" x14ac:dyDescent="0.2">
      <c r="A114" s="1">
        <v>1040112</v>
      </c>
      <c r="B114" t="s">
        <v>592</v>
      </c>
      <c r="C114">
        <v>3</v>
      </c>
      <c r="D114">
        <v>1</v>
      </c>
      <c r="E114">
        <v>1</v>
      </c>
      <c r="F114" t="s">
        <v>622</v>
      </c>
      <c r="G114" t="s">
        <v>660</v>
      </c>
      <c r="H114" t="s">
        <v>622</v>
      </c>
      <c r="I114" t="s">
        <v>622</v>
      </c>
      <c r="J114" t="s">
        <v>622</v>
      </c>
      <c r="K114" t="s">
        <v>622</v>
      </c>
      <c r="L114" t="s">
        <v>622</v>
      </c>
      <c r="M114" t="s">
        <v>622</v>
      </c>
      <c r="N114" t="s">
        <v>622</v>
      </c>
      <c r="O114" t="s">
        <v>622</v>
      </c>
      <c r="R114" t="s">
        <v>406</v>
      </c>
      <c r="AE114" t="s">
        <v>380</v>
      </c>
    </row>
    <row r="115" spans="1:31" x14ac:dyDescent="0.2">
      <c r="A115" s="1">
        <v>1040113</v>
      </c>
      <c r="B115" t="s">
        <v>594</v>
      </c>
      <c r="C115">
        <v>3</v>
      </c>
      <c r="D115">
        <v>11</v>
      </c>
      <c r="E115">
        <v>1</v>
      </c>
      <c r="F115" t="s">
        <v>622</v>
      </c>
      <c r="G115" t="s">
        <v>660</v>
      </c>
      <c r="H115" t="s">
        <v>622</v>
      </c>
      <c r="I115" t="s">
        <v>622</v>
      </c>
      <c r="J115" t="s">
        <v>622</v>
      </c>
      <c r="K115" t="s">
        <v>622</v>
      </c>
      <c r="L115" t="s">
        <v>622</v>
      </c>
      <c r="M115" t="s">
        <v>622</v>
      </c>
      <c r="N115" t="s">
        <v>622</v>
      </c>
      <c r="O115" t="s">
        <v>622</v>
      </c>
      <c r="R115" t="s">
        <v>405</v>
      </c>
      <c r="AE115" t="s">
        <v>381</v>
      </c>
    </row>
    <row r="116" spans="1:31" x14ac:dyDescent="0.2">
      <c r="A116" s="1">
        <v>1040114</v>
      </c>
      <c r="B116" t="s">
        <v>596</v>
      </c>
      <c r="C116">
        <v>3</v>
      </c>
      <c r="D116">
        <v>8</v>
      </c>
      <c r="F116" t="s">
        <v>622</v>
      </c>
      <c r="G116" t="s">
        <v>622</v>
      </c>
      <c r="H116" t="s">
        <v>622</v>
      </c>
      <c r="I116" t="s">
        <v>622</v>
      </c>
      <c r="J116" t="s">
        <v>622</v>
      </c>
      <c r="K116" t="s">
        <v>622</v>
      </c>
      <c r="L116" t="s">
        <v>622</v>
      </c>
      <c r="M116" t="s">
        <v>622</v>
      </c>
      <c r="N116" t="s">
        <v>622</v>
      </c>
      <c r="O116" t="s">
        <v>622</v>
      </c>
      <c r="R116" t="s">
        <v>405</v>
      </c>
      <c r="AE116" t="s">
        <v>382</v>
      </c>
    </row>
    <row r="117" spans="1:31" x14ac:dyDescent="0.2">
      <c r="A117" s="1">
        <v>1040115</v>
      </c>
      <c r="B117" t="s">
        <v>362</v>
      </c>
      <c r="C117">
        <v>3</v>
      </c>
      <c r="D117">
        <v>13</v>
      </c>
      <c r="F117" t="s">
        <v>622</v>
      </c>
      <c r="G117" t="s">
        <v>622</v>
      </c>
      <c r="H117" t="s">
        <v>622</v>
      </c>
      <c r="I117" t="s">
        <v>622</v>
      </c>
      <c r="J117" t="s">
        <v>652</v>
      </c>
      <c r="K117" t="s">
        <v>652</v>
      </c>
      <c r="L117" t="s">
        <v>622</v>
      </c>
      <c r="M117" t="s">
        <v>622</v>
      </c>
      <c r="N117" t="s">
        <v>661</v>
      </c>
      <c r="O117" t="s">
        <v>622</v>
      </c>
      <c r="R117" t="s">
        <v>405</v>
      </c>
      <c r="AE117" t="s">
        <v>383</v>
      </c>
    </row>
    <row r="118" spans="1:31" x14ac:dyDescent="0.2">
      <c r="A118" s="1">
        <v>1040116</v>
      </c>
      <c r="B118" t="s">
        <v>363</v>
      </c>
      <c r="C118">
        <v>3</v>
      </c>
      <c r="D118">
        <v>14</v>
      </c>
      <c r="F118" t="s">
        <v>622</v>
      </c>
      <c r="G118" t="s">
        <v>622</v>
      </c>
      <c r="H118" t="s">
        <v>662</v>
      </c>
      <c r="I118" t="s">
        <v>662</v>
      </c>
      <c r="J118" t="s">
        <v>622</v>
      </c>
      <c r="K118" t="s">
        <v>622</v>
      </c>
      <c r="L118" t="s">
        <v>663</v>
      </c>
      <c r="M118" t="s">
        <v>663</v>
      </c>
      <c r="N118" t="s">
        <v>622</v>
      </c>
      <c r="O118" t="s">
        <v>622</v>
      </c>
      <c r="R118" t="s">
        <v>405</v>
      </c>
      <c r="AE118" t="s">
        <v>383</v>
      </c>
    </row>
    <row r="119" spans="1:31" x14ac:dyDescent="0.2">
      <c r="A119" s="1">
        <v>1040117</v>
      </c>
      <c r="B119" t="s">
        <v>364</v>
      </c>
      <c r="C119">
        <v>3</v>
      </c>
      <c r="D119">
        <v>15</v>
      </c>
      <c r="F119" t="s">
        <v>622</v>
      </c>
      <c r="G119" t="s">
        <v>622</v>
      </c>
      <c r="H119" t="s">
        <v>662</v>
      </c>
      <c r="I119" t="s">
        <v>662</v>
      </c>
      <c r="J119" t="s">
        <v>622</v>
      </c>
      <c r="K119" t="s">
        <v>622</v>
      </c>
      <c r="L119" t="s">
        <v>663</v>
      </c>
      <c r="M119" t="s">
        <v>663</v>
      </c>
      <c r="N119" t="s">
        <v>622</v>
      </c>
      <c r="O119" t="s">
        <v>622</v>
      </c>
      <c r="R119" t="s">
        <v>405</v>
      </c>
      <c r="AE119" t="s">
        <v>383</v>
      </c>
    </row>
    <row r="120" spans="1:31" x14ac:dyDescent="0.2">
      <c r="A120" s="1">
        <v>1040118</v>
      </c>
      <c r="B120" t="s">
        <v>365</v>
      </c>
      <c r="C120">
        <v>3</v>
      </c>
      <c r="D120">
        <v>16</v>
      </c>
      <c r="F120" t="s">
        <v>622</v>
      </c>
      <c r="G120" t="s">
        <v>622</v>
      </c>
      <c r="H120" t="s">
        <v>622</v>
      </c>
      <c r="I120" t="s">
        <v>622</v>
      </c>
      <c r="J120" t="s">
        <v>622</v>
      </c>
      <c r="K120" t="s">
        <v>622</v>
      </c>
      <c r="L120" t="s">
        <v>622</v>
      </c>
      <c r="M120" t="s">
        <v>622</v>
      </c>
      <c r="N120" t="s">
        <v>664</v>
      </c>
      <c r="O120" t="s">
        <v>662</v>
      </c>
      <c r="R120" t="s">
        <v>405</v>
      </c>
      <c r="AE120" t="s">
        <v>383</v>
      </c>
    </row>
    <row r="121" spans="1:31" x14ac:dyDescent="0.2">
      <c r="A121" s="1">
        <v>1040119</v>
      </c>
      <c r="B121" t="s">
        <v>601</v>
      </c>
      <c r="C121">
        <v>4</v>
      </c>
      <c r="D121">
        <v>0</v>
      </c>
      <c r="E121">
        <v>0</v>
      </c>
      <c r="F121" t="s">
        <v>665</v>
      </c>
      <c r="G121" t="s">
        <v>622</v>
      </c>
      <c r="H121" t="s">
        <v>622</v>
      </c>
      <c r="I121" t="s">
        <v>622</v>
      </c>
      <c r="J121" t="s">
        <v>622</v>
      </c>
      <c r="K121" t="s">
        <v>622</v>
      </c>
      <c r="L121" t="s">
        <v>622</v>
      </c>
      <c r="M121" t="s">
        <v>622</v>
      </c>
      <c r="N121" t="s">
        <v>622</v>
      </c>
      <c r="O121" t="s">
        <v>622</v>
      </c>
      <c r="R121" t="s">
        <v>411</v>
      </c>
      <c r="S121" t="s">
        <v>980</v>
      </c>
      <c r="T121" t="s">
        <v>993</v>
      </c>
      <c r="U121" t="s">
        <v>415</v>
      </c>
      <c r="AE121" t="s">
        <v>384</v>
      </c>
    </row>
    <row r="122" spans="1:31" x14ac:dyDescent="0.2">
      <c r="A122" s="1">
        <v>1040120</v>
      </c>
      <c r="B122" t="s">
        <v>598</v>
      </c>
      <c r="C122">
        <v>4</v>
      </c>
      <c r="D122">
        <v>1</v>
      </c>
      <c r="E122">
        <v>1</v>
      </c>
      <c r="F122" t="s">
        <v>622</v>
      </c>
      <c r="G122" t="s">
        <v>665</v>
      </c>
      <c r="H122" t="s">
        <v>622</v>
      </c>
      <c r="I122" t="s">
        <v>622</v>
      </c>
      <c r="J122" t="s">
        <v>622</v>
      </c>
      <c r="K122" t="s">
        <v>622</v>
      </c>
      <c r="L122" t="s">
        <v>622</v>
      </c>
      <c r="M122" t="s">
        <v>622</v>
      </c>
      <c r="N122" t="s">
        <v>622</v>
      </c>
      <c r="O122" t="s">
        <v>622</v>
      </c>
      <c r="R122" t="s">
        <v>413</v>
      </c>
      <c r="S122" t="s">
        <v>981</v>
      </c>
      <c r="T122" t="s">
        <v>994</v>
      </c>
      <c r="U122" t="s">
        <v>417</v>
      </c>
      <c r="AE122" t="s">
        <v>385</v>
      </c>
    </row>
    <row r="123" spans="1:31" x14ac:dyDescent="0.2">
      <c r="A123" s="1">
        <v>1040121</v>
      </c>
      <c r="B123" t="s">
        <v>600</v>
      </c>
      <c r="C123">
        <v>4</v>
      </c>
      <c r="D123">
        <v>11</v>
      </c>
      <c r="E123">
        <v>1</v>
      </c>
      <c r="F123" t="s">
        <v>622</v>
      </c>
      <c r="G123" t="s">
        <v>665</v>
      </c>
      <c r="H123" t="s">
        <v>622</v>
      </c>
      <c r="I123" t="s">
        <v>622</v>
      </c>
      <c r="J123" t="s">
        <v>622</v>
      </c>
      <c r="K123" t="s">
        <v>622</v>
      </c>
      <c r="L123" t="s">
        <v>622</v>
      </c>
      <c r="M123" t="s">
        <v>622</v>
      </c>
      <c r="N123" t="s">
        <v>622</v>
      </c>
      <c r="O123" t="s">
        <v>622</v>
      </c>
      <c r="R123" t="s">
        <v>421</v>
      </c>
      <c r="S123" t="s">
        <v>982</v>
      </c>
      <c r="T123" t="s">
        <v>995</v>
      </c>
      <c r="U123" t="s">
        <v>419</v>
      </c>
      <c r="AE123" t="s">
        <v>386</v>
      </c>
    </row>
    <row r="124" spans="1:31" x14ac:dyDescent="0.2">
      <c r="A124" s="1">
        <v>1040122</v>
      </c>
      <c r="B124" t="s">
        <v>602</v>
      </c>
      <c r="C124">
        <v>4</v>
      </c>
      <c r="D124">
        <v>8</v>
      </c>
      <c r="E124">
        <v>0</v>
      </c>
      <c r="F124" t="s">
        <v>665</v>
      </c>
      <c r="G124" t="s">
        <v>622</v>
      </c>
      <c r="H124" t="s">
        <v>622</v>
      </c>
      <c r="I124" t="s">
        <v>622</v>
      </c>
      <c r="J124" t="s">
        <v>622</v>
      </c>
      <c r="K124" t="s">
        <v>622</v>
      </c>
      <c r="L124" t="s">
        <v>622</v>
      </c>
      <c r="M124" t="s">
        <v>622</v>
      </c>
      <c r="N124" t="s">
        <v>622</v>
      </c>
      <c r="O124" t="s">
        <v>622</v>
      </c>
      <c r="R124" t="s">
        <v>421</v>
      </c>
      <c r="S124" t="s">
        <v>983</v>
      </c>
      <c r="T124" t="s">
        <v>996</v>
      </c>
      <c r="U124" t="s">
        <v>423</v>
      </c>
      <c r="AE124" t="s">
        <v>387</v>
      </c>
    </row>
    <row r="125" spans="1:31" x14ac:dyDescent="0.2">
      <c r="A125" s="1">
        <v>1040123</v>
      </c>
      <c r="B125" t="s">
        <v>366</v>
      </c>
      <c r="C125">
        <v>4</v>
      </c>
      <c r="D125">
        <v>13</v>
      </c>
      <c r="F125" t="s">
        <v>622</v>
      </c>
      <c r="G125" t="s">
        <v>622</v>
      </c>
      <c r="H125" t="s">
        <v>622</v>
      </c>
      <c r="I125" t="s">
        <v>622</v>
      </c>
      <c r="J125" t="s">
        <v>653</v>
      </c>
      <c r="K125" t="s">
        <v>653</v>
      </c>
      <c r="L125" t="s">
        <v>622</v>
      </c>
      <c r="M125" t="s">
        <v>622</v>
      </c>
      <c r="N125" t="s">
        <v>666</v>
      </c>
      <c r="O125" t="s">
        <v>622</v>
      </c>
      <c r="R125" t="s">
        <v>413</v>
      </c>
      <c r="S125" t="s">
        <v>984</v>
      </c>
      <c r="T125" t="s">
        <v>997</v>
      </c>
      <c r="U125" t="s">
        <v>425</v>
      </c>
      <c r="AE125" t="s">
        <v>388</v>
      </c>
    </row>
    <row r="126" spans="1:31" x14ac:dyDescent="0.2">
      <c r="A126" s="1">
        <v>1040124</v>
      </c>
      <c r="B126" t="s">
        <v>367</v>
      </c>
      <c r="C126">
        <v>4</v>
      </c>
      <c r="D126">
        <v>14</v>
      </c>
      <c r="F126" t="s">
        <v>622</v>
      </c>
      <c r="G126" t="s">
        <v>622</v>
      </c>
      <c r="H126" t="s">
        <v>667</v>
      </c>
      <c r="I126" t="s">
        <v>667</v>
      </c>
      <c r="J126" t="s">
        <v>622</v>
      </c>
      <c r="K126" t="s">
        <v>622</v>
      </c>
      <c r="L126" t="s">
        <v>624</v>
      </c>
      <c r="M126" t="s">
        <v>624</v>
      </c>
      <c r="N126" t="s">
        <v>622</v>
      </c>
      <c r="O126" t="s">
        <v>622</v>
      </c>
      <c r="R126" t="s">
        <v>413</v>
      </c>
      <c r="S126" t="s">
        <v>985</v>
      </c>
      <c r="T126" t="s">
        <v>998</v>
      </c>
      <c r="U126" t="s">
        <v>427</v>
      </c>
      <c r="AE126" t="s">
        <v>388</v>
      </c>
    </row>
    <row r="127" spans="1:31" x14ac:dyDescent="0.2">
      <c r="A127" s="1">
        <v>1040125</v>
      </c>
      <c r="B127" t="s">
        <v>368</v>
      </c>
      <c r="C127">
        <v>4</v>
      </c>
      <c r="D127">
        <v>15</v>
      </c>
      <c r="F127" t="s">
        <v>622</v>
      </c>
      <c r="G127" t="s">
        <v>622</v>
      </c>
      <c r="H127" t="s">
        <v>667</v>
      </c>
      <c r="I127" t="s">
        <v>667</v>
      </c>
      <c r="J127" t="s">
        <v>622</v>
      </c>
      <c r="K127" t="s">
        <v>622</v>
      </c>
      <c r="L127" t="s">
        <v>624</v>
      </c>
      <c r="M127" t="s">
        <v>624</v>
      </c>
      <c r="N127" t="s">
        <v>622</v>
      </c>
      <c r="O127" t="s">
        <v>622</v>
      </c>
      <c r="R127" t="s">
        <v>413</v>
      </c>
      <c r="S127" t="s">
        <v>986</v>
      </c>
      <c r="T127" t="s">
        <v>999</v>
      </c>
      <c r="U127" t="s">
        <v>429</v>
      </c>
      <c r="AE127" t="s">
        <v>388</v>
      </c>
    </row>
    <row r="128" spans="1:31" x14ac:dyDescent="0.2">
      <c r="A128" s="1">
        <v>1040126</v>
      </c>
      <c r="B128" t="s">
        <v>369</v>
      </c>
      <c r="C128">
        <v>4</v>
      </c>
      <c r="D128">
        <v>16</v>
      </c>
      <c r="F128" t="s">
        <v>622</v>
      </c>
      <c r="G128" t="s">
        <v>622</v>
      </c>
      <c r="H128" t="s">
        <v>622</v>
      </c>
      <c r="I128" t="s">
        <v>622</v>
      </c>
      <c r="J128" t="s">
        <v>622</v>
      </c>
      <c r="K128" t="s">
        <v>622</v>
      </c>
      <c r="L128" t="s">
        <v>622</v>
      </c>
      <c r="M128" t="s">
        <v>622</v>
      </c>
      <c r="N128" t="s">
        <v>666</v>
      </c>
      <c r="O128" t="s">
        <v>667</v>
      </c>
      <c r="R128" t="s">
        <v>413</v>
      </c>
      <c r="S128" t="s">
        <v>987</v>
      </c>
      <c r="T128" t="s">
        <v>1000</v>
      </c>
      <c r="U128" t="s">
        <v>431</v>
      </c>
      <c r="AE128" t="s">
        <v>388</v>
      </c>
    </row>
    <row r="129" spans="1:31" x14ac:dyDescent="0.2">
      <c r="A129" s="1">
        <v>1040127</v>
      </c>
      <c r="B129" t="s">
        <v>603</v>
      </c>
      <c r="C129">
        <v>4</v>
      </c>
      <c r="D129">
        <v>4</v>
      </c>
      <c r="E129">
        <v>0</v>
      </c>
      <c r="F129" t="s">
        <v>665</v>
      </c>
      <c r="G129" t="s">
        <v>622</v>
      </c>
      <c r="H129" t="s">
        <v>622</v>
      </c>
      <c r="I129" t="s">
        <v>622</v>
      </c>
      <c r="J129" t="s">
        <v>622</v>
      </c>
      <c r="K129" t="s">
        <v>622</v>
      </c>
      <c r="L129" t="s">
        <v>622</v>
      </c>
      <c r="M129" t="s">
        <v>622</v>
      </c>
      <c r="N129" t="s">
        <v>622</v>
      </c>
      <c r="O129" t="s">
        <v>622</v>
      </c>
      <c r="R129" t="s">
        <v>433</v>
      </c>
      <c r="S129" t="s">
        <v>437</v>
      </c>
      <c r="T129" t="s">
        <v>1001</v>
      </c>
      <c r="U129" t="s">
        <v>439</v>
      </c>
      <c r="AE129" t="s">
        <v>389</v>
      </c>
    </row>
    <row r="130" spans="1:31" x14ac:dyDescent="0.2">
      <c r="A130" s="1">
        <v>1040128</v>
      </c>
      <c r="B130" t="s">
        <v>604</v>
      </c>
      <c r="C130">
        <v>4</v>
      </c>
      <c r="D130">
        <v>3</v>
      </c>
      <c r="E130">
        <v>1</v>
      </c>
      <c r="F130" t="s">
        <v>622</v>
      </c>
      <c r="G130" t="s">
        <v>665</v>
      </c>
      <c r="H130" t="s">
        <v>622</v>
      </c>
      <c r="I130" t="s">
        <v>622</v>
      </c>
      <c r="J130" t="s">
        <v>622</v>
      </c>
      <c r="K130" t="s">
        <v>622</v>
      </c>
      <c r="L130" t="s">
        <v>622</v>
      </c>
      <c r="M130" t="s">
        <v>622</v>
      </c>
      <c r="N130" t="s">
        <v>622</v>
      </c>
      <c r="O130" t="s">
        <v>622</v>
      </c>
      <c r="R130" t="s">
        <v>433</v>
      </c>
      <c r="S130" t="s">
        <v>988</v>
      </c>
      <c r="T130" t="s">
        <v>1002</v>
      </c>
      <c r="U130" t="s">
        <v>435</v>
      </c>
      <c r="AE130" t="s">
        <v>390</v>
      </c>
    </row>
    <row r="131" spans="1:31" x14ac:dyDescent="0.2">
      <c r="A131" s="1">
        <v>1040129</v>
      </c>
      <c r="B131" t="s">
        <v>605</v>
      </c>
      <c r="C131">
        <v>4</v>
      </c>
      <c r="D131">
        <v>8</v>
      </c>
      <c r="E131">
        <v>0</v>
      </c>
      <c r="F131" t="s">
        <v>665</v>
      </c>
      <c r="G131" t="s">
        <v>622</v>
      </c>
      <c r="H131" t="s">
        <v>622</v>
      </c>
      <c r="I131" t="s">
        <v>622</v>
      </c>
      <c r="J131" t="s">
        <v>622</v>
      </c>
      <c r="K131" t="s">
        <v>622</v>
      </c>
      <c r="L131" t="s">
        <v>622</v>
      </c>
      <c r="M131" t="s">
        <v>622</v>
      </c>
      <c r="N131" t="s">
        <v>622</v>
      </c>
      <c r="O131" t="s">
        <v>622</v>
      </c>
      <c r="R131" t="s">
        <v>433</v>
      </c>
      <c r="S131" t="s">
        <v>441</v>
      </c>
      <c r="T131" t="s">
        <v>1003</v>
      </c>
      <c r="U131" t="s">
        <v>443</v>
      </c>
      <c r="AE131" t="s">
        <v>391</v>
      </c>
    </row>
    <row r="132" spans="1:31" x14ac:dyDescent="0.2">
      <c r="A132" s="1">
        <v>1040130</v>
      </c>
      <c r="B132" t="s">
        <v>606</v>
      </c>
      <c r="C132">
        <v>4</v>
      </c>
      <c r="D132">
        <v>12</v>
      </c>
      <c r="E132">
        <v>1</v>
      </c>
      <c r="F132" t="s">
        <v>622</v>
      </c>
      <c r="G132" t="s">
        <v>665</v>
      </c>
      <c r="H132" t="s">
        <v>622</v>
      </c>
      <c r="I132" t="s">
        <v>622</v>
      </c>
      <c r="J132" t="s">
        <v>622</v>
      </c>
      <c r="K132" t="s">
        <v>622</v>
      </c>
      <c r="L132" t="s">
        <v>622</v>
      </c>
      <c r="M132" t="s">
        <v>622</v>
      </c>
      <c r="N132" t="s">
        <v>622</v>
      </c>
      <c r="O132" t="s">
        <v>622</v>
      </c>
      <c r="R132" t="s">
        <v>433</v>
      </c>
      <c r="S132" t="s">
        <v>445</v>
      </c>
      <c r="T132" t="s">
        <v>1004</v>
      </c>
      <c r="U132" t="s">
        <v>447</v>
      </c>
      <c r="AE132" t="s">
        <v>392</v>
      </c>
    </row>
    <row r="133" spans="1:31" x14ac:dyDescent="0.2">
      <c r="A133" s="1">
        <v>1040131</v>
      </c>
      <c r="B133" t="s">
        <v>370</v>
      </c>
      <c r="C133">
        <v>4</v>
      </c>
      <c r="D133">
        <v>13</v>
      </c>
      <c r="F133" t="s">
        <v>622</v>
      </c>
      <c r="G133" t="s">
        <v>622</v>
      </c>
      <c r="H133" t="s">
        <v>622</v>
      </c>
      <c r="I133" t="s">
        <v>622</v>
      </c>
      <c r="J133" t="s">
        <v>653</v>
      </c>
      <c r="K133" t="s">
        <v>653</v>
      </c>
      <c r="L133" t="s">
        <v>622</v>
      </c>
      <c r="M133" t="s">
        <v>622</v>
      </c>
      <c r="N133" t="s">
        <v>666</v>
      </c>
      <c r="O133" t="s">
        <v>622</v>
      </c>
      <c r="R133" t="s">
        <v>433</v>
      </c>
      <c r="S133" t="s">
        <v>846</v>
      </c>
      <c r="T133" t="s">
        <v>1005</v>
      </c>
      <c r="U133" t="s">
        <v>449</v>
      </c>
      <c r="AE133" t="s">
        <v>393</v>
      </c>
    </row>
    <row r="134" spans="1:31" x14ac:dyDescent="0.2">
      <c r="A134" s="1">
        <v>1040132</v>
      </c>
      <c r="B134" t="s">
        <v>371</v>
      </c>
      <c r="C134">
        <v>4</v>
      </c>
      <c r="D134">
        <v>14</v>
      </c>
      <c r="F134" t="s">
        <v>622</v>
      </c>
      <c r="G134" t="s">
        <v>622</v>
      </c>
      <c r="H134" t="s">
        <v>667</v>
      </c>
      <c r="I134" t="s">
        <v>667</v>
      </c>
      <c r="J134" t="s">
        <v>622</v>
      </c>
      <c r="K134" t="s">
        <v>622</v>
      </c>
      <c r="L134" t="s">
        <v>624</v>
      </c>
      <c r="M134" t="s">
        <v>624</v>
      </c>
      <c r="N134" t="s">
        <v>622</v>
      </c>
      <c r="O134" t="s">
        <v>622</v>
      </c>
      <c r="R134" t="s">
        <v>433</v>
      </c>
      <c r="S134" t="s">
        <v>989</v>
      </c>
      <c r="T134" t="s">
        <v>1006</v>
      </c>
      <c r="U134" t="s">
        <v>452</v>
      </c>
      <c r="AE134" t="s">
        <v>394</v>
      </c>
    </row>
    <row r="135" spans="1:31" x14ac:dyDescent="0.2">
      <c r="A135" s="1">
        <v>1040133</v>
      </c>
      <c r="B135" t="s">
        <v>372</v>
      </c>
      <c r="C135">
        <v>4</v>
      </c>
      <c r="D135">
        <v>15</v>
      </c>
      <c r="F135" t="s">
        <v>622</v>
      </c>
      <c r="G135" t="s">
        <v>622</v>
      </c>
      <c r="H135" t="s">
        <v>667</v>
      </c>
      <c r="I135" t="s">
        <v>667</v>
      </c>
      <c r="J135" t="s">
        <v>622</v>
      </c>
      <c r="K135" t="s">
        <v>622</v>
      </c>
      <c r="L135" t="s">
        <v>624</v>
      </c>
      <c r="M135" t="s">
        <v>624</v>
      </c>
      <c r="N135" t="s">
        <v>622</v>
      </c>
      <c r="O135" t="s">
        <v>622</v>
      </c>
      <c r="R135" t="s">
        <v>433</v>
      </c>
      <c r="S135" t="s">
        <v>990</v>
      </c>
      <c r="T135" t="s">
        <v>1007</v>
      </c>
      <c r="U135" t="s">
        <v>450</v>
      </c>
      <c r="AE135" t="s">
        <v>395</v>
      </c>
    </row>
    <row r="136" spans="1:31" x14ac:dyDescent="0.2">
      <c r="A136" s="1">
        <v>1040134</v>
      </c>
      <c r="B136" t="s">
        <v>373</v>
      </c>
      <c r="C136">
        <v>4</v>
      </c>
      <c r="D136">
        <v>16</v>
      </c>
      <c r="F136" t="s">
        <v>622</v>
      </c>
      <c r="G136" t="s">
        <v>622</v>
      </c>
      <c r="H136" t="s">
        <v>622</v>
      </c>
      <c r="I136" t="s">
        <v>622</v>
      </c>
      <c r="J136" t="s">
        <v>622</v>
      </c>
      <c r="K136" t="s">
        <v>622</v>
      </c>
      <c r="L136" t="s">
        <v>622</v>
      </c>
      <c r="M136" t="s">
        <v>622</v>
      </c>
      <c r="N136" t="s">
        <v>666</v>
      </c>
      <c r="O136" t="s">
        <v>667</v>
      </c>
      <c r="R136" t="s">
        <v>433</v>
      </c>
      <c r="S136" t="s">
        <v>991</v>
      </c>
      <c r="T136" t="s">
        <v>751</v>
      </c>
      <c r="U136" t="s">
        <v>454</v>
      </c>
      <c r="AE136" t="s">
        <v>396</v>
      </c>
    </row>
    <row r="137" spans="1:31" x14ac:dyDescent="0.2">
      <c r="A137" s="1">
        <v>1040135</v>
      </c>
      <c r="B137" t="s">
        <v>607</v>
      </c>
      <c r="C137">
        <v>5</v>
      </c>
      <c r="D137">
        <v>4</v>
      </c>
      <c r="E137">
        <v>0</v>
      </c>
      <c r="F137" t="s">
        <v>668</v>
      </c>
      <c r="G137" t="s">
        <v>622</v>
      </c>
      <c r="H137" t="s">
        <v>622</v>
      </c>
      <c r="I137" t="s">
        <v>622</v>
      </c>
      <c r="J137" t="s">
        <v>622</v>
      </c>
      <c r="K137" t="s">
        <v>622</v>
      </c>
      <c r="L137" t="s">
        <v>622</v>
      </c>
      <c r="M137" t="s">
        <v>622</v>
      </c>
      <c r="N137" t="s">
        <v>622</v>
      </c>
      <c r="O137" t="s">
        <v>622</v>
      </c>
      <c r="R137" t="s">
        <v>421</v>
      </c>
      <c r="S137" t="s">
        <v>437</v>
      </c>
      <c r="T137" t="s">
        <v>1001</v>
      </c>
      <c r="U137" t="s">
        <v>439</v>
      </c>
      <c r="V137" t="s">
        <v>1019</v>
      </c>
      <c r="W137" t="s">
        <v>1034</v>
      </c>
      <c r="X137" t="s">
        <v>465</v>
      </c>
      <c r="AE137" t="s">
        <v>397</v>
      </c>
    </row>
    <row r="138" spans="1:31" x14ac:dyDescent="0.2">
      <c r="A138" s="1">
        <v>1040136</v>
      </c>
      <c r="B138" t="s">
        <v>608</v>
      </c>
      <c r="C138">
        <v>5</v>
      </c>
      <c r="D138">
        <v>3</v>
      </c>
      <c r="E138">
        <v>1</v>
      </c>
      <c r="F138" t="s">
        <v>622</v>
      </c>
      <c r="G138" t="s">
        <v>668</v>
      </c>
      <c r="H138" t="s">
        <v>622</v>
      </c>
      <c r="I138" t="s">
        <v>622</v>
      </c>
      <c r="J138" t="s">
        <v>622</v>
      </c>
      <c r="K138" t="s">
        <v>622</v>
      </c>
      <c r="L138" t="s">
        <v>622</v>
      </c>
      <c r="M138" t="s">
        <v>622</v>
      </c>
      <c r="N138" t="s">
        <v>622</v>
      </c>
      <c r="O138" t="s">
        <v>622</v>
      </c>
      <c r="R138" t="s">
        <v>421</v>
      </c>
      <c r="S138" t="s">
        <v>988</v>
      </c>
      <c r="T138" t="s">
        <v>1002</v>
      </c>
      <c r="U138" t="s">
        <v>435</v>
      </c>
      <c r="V138" t="s">
        <v>1020</v>
      </c>
      <c r="W138" t="s">
        <v>1035</v>
      </c>
      <c r="X138" t="s">
        <v>467</v>
      </c>
      <c r="AE138" t="s">
        <v>398</v>
      </c>
    </row>
    <row r="139" spans="1:31" x14ac:dyDescent="0.2">
      <c r="A139" s="1">
        <v>1040137</v>
      </c>
      <c r="B139" t="s">
        <v>609</v>
      </c>
      <c r="C139">
        <v>5</v>
      </c>
      <c r="D139">
        <v>8</v>
      </c>
      <c r="E139">
        <v>0</v>
      </c>
      <c r="F139" t="s">
        <v>668</v>
      </c>
      <c r="G139" t="s">
        <v>622</v>
      </c>
      <c r="H139" t="s">
        <v>622</v>
      </c>
      <c r="I139" t="s">
        <v>622</v>
      </c>
      <c r="J139" t="s">
        <v>622</v>
      </c>
      <c r="K139" t="s">
        <v>622</v>
      </c>
      <c r="L139" t="s">
        <v>622</v>
      </c>
      <c r="M139" t="s">
        <v>622</v>
      </c>
      <c r="N139" t="s">
        <v>622</v>
      </c>
      <c r="O139" t="s">
        <v>622</v>
      </c>
      <c r="R139" t="s">
        <v>421</v>
      </c>
      <c r="S139" t="s">
        <v>441</v>
      </c>
      <c r="T139" t="s">
        <v>1003</v>
      </c>
      <c r="U139" t="s">
        <v>443</v>
      </c>
      <c r="V139" t="s">
        <v>469</v>
      </c>
      <c r="W139" t="s">
        <v>1036</v>
      </c>
      <c r="X139" t="s">
        <v>471</v>
      </c>
      <c r="AE139" t="s">
        <v>399</v>
      </c>
    </row>
    <row r="140" spans="1:31" x14ac:dyDescent="0.2">
      <c r="A140" s="1">
        <v>1040138</v>
      </c>
      <c r="B140" t="s">
        <v>610</v>
      </c>
      <c r="C140">
        <v>5</v>
      </c>
      <c r="D140">
        <v>12</v>
      </c>
      <c r="E140">
        <v>1</v>
      </c>
      <c r="F140" t="s">
        <v>622</v>
      </c>
      <c r="G140" t="s">
        <v>668</v>
      </c>
      <c r="H140" t="s">
        <v>622</v>
      </c>
      <c r="I140" t="s">
        <v>622</v>
      </c>
      <c r="J140" t="s">
        <v>622</v>
      </c>
      <c r="K140" t="s">
        <v>622</v>
      </c>
      <c r="L140" t="s">
        <v>622</v>
      </c>
      <c r="M140" t="s">
        <v>622</v>
      </c>
      <c r="N140" t="s">
        <v>622</v>
      </c>
      <c r="O140" t="s">
        <v>622</v>
      </c>
      <c r="R140" t="s">
        <v>421</v>
      </c>
      <c r="S140" t="s">
        <v>992</v>
      </c>
      <c r="T140" t="s">
        <v>1008</v>
      </c>
      <c r="U140" t="s">
        <v>473</v>
      </c>
      <c r="V140" t="s">
        <v>1021</v>
      </c>
      <c r="W140" t="s">
        <v>1037</v>
      </c>
      <c r="X140" t="s">
        <v>475</v>
      </c>
      <c r="AE140" t="s">
        <v>400</v>
      </c>
    </row>
    <row r="141" spans="1:31" x14ac:dyDescent="0.2">
      <c r="A141" s="1">
        <v>1040139</v>
      </c>
      <c r="B141" t="s">
        <v>611</v>
      </c>
      <c r="C141">
        <v>5</v>
      </c>
      <c r="D141">
        <v>13</v>
      </c>
      <c r="F141" t="s">
        <v>622</v>
      </c>
      <c r="G141" t="s">
        <v>622</v>
      </c>
      <c r="H141" t="s">
        <v>622</v>
      </c>
      <c r="I141" t="s">
        <v>622</v>
      </c>
      <c r="J141" t="s">
        <v>669</v>
      </c>
      <c r="K141" t="s">
        <v>669</v>
      </c>
      <c r="L141" t="s">
        <v>622</v>
      </c>
      <c r="M141" t="s">
        <v>622</v>
      </c>
      <c r="N141" t="s">
        <v>670</v>
      </c>
      <c r="O141" t="s">
        <v>622</v>
      </c>
      <c r="R141" t="s">
        <v>463</v>
      </c>
      <c r="S141" t="s">
        <v>846</v>
      </c>
      <c r="T141" t="s">
        <v>1005</v>
      </c>
      <c r="U141" t="s">
        <v>456</v>
      </c>
      <c r="V141" t="s">
        <v>865</v>
      </c>
      <c r="W141" t="s">
        <v>866</v>
      </c>
      <c r="X141" t="s">
        <v>477</v>
      </c>
      <c r="AE141" t="s">
        <v>401</v>
      </c>
    </row>
    <row r="142" spans="1:31" x14ac:dyDescent="0.2">
      <c r="A142" s="1">
        <v>1040140</v>
      </c>
      <c r="B142" t="s">
        <v>612</v>
      </c>
      <c r="C142">
        <v>5</v>
      </c>
      <c r="D142">
        <v>14</v>
      </c>
      <c r="F142" t="s">
        <v>622</v>
      </c>
      <c r="G142" t="s">
        <v>622</v>
      </c>
      <c r="H142" t="s">
        <v>671</v>
      </c>
      <c r="I142" t="s">
        <v>671</v>
      </c>
      <c r="J142" t="s">
        <v>622</v>
      </c>
      <c r="K142" t="s">
        <v>622</v>
      </c>
      <c r="L142" t="s">
        <v>672</v>
      </c>
      <c r="M142" t="s">
        <v>672</v>
      </c>
      <c r="N142" t="s">
        <v>622</v>
      </c>
      <c r="O142" t="s">
        <v>622</v>
      </c>
      <c r="R142" t="s">
        <v>463</v>
      </c>
      <c r="S142" t="s">
        <v>989</v>
      </c>
      <c r="T142" t="s">
        <v>1006</v>
      </c>
      <c r="U142" t="s">
        <v>461</v>
      </c>
      <c r="V142" t="s">
        <v>865</v>
      </c>
      <c r="W142" t="s">
        <v>866</v>
      </c>
      <c r="X142" t="s">
        <v>477</v>
      </c>
      <c r="AE142" t="s">
        <v>402</v>
      </c>
    </row>
    <row r="143" spans="1:31" x14ac:dyDescent="0.2">
      <c r="A143" s="1">
        <v>1040141</v>
      </c>
      <c r="B143" t="s">
        <v>613</v>
      </c>
      <c r="C143">
        <v>5</v>
      </c>
      <c r="D143">
        <v>15</v>
      </c>
      <c r="F143" t="s">
        <v>622</v>
      </c>
      <c r="G143" t="s">
        <v>622</v>
      </c>
      <c r="H143" t="s">
        <v>671</v>
      </c>
      <c r="I143" t="s">
        <v>671</v>
      </c>
      <c r="J143" t="s">
        <v>622</v>
      </c>
      <c r="K143" t="s">
        <v>622</v>
      </c>
      <c r="L143" t="s">
        <v>672</v>
      </c>
      <c r="M143" t="s">
        <v>672</v>
      </c>
      <c r="N143" t="s">
        <v>622</v>
      </c>
      <c r="O143" t="s">
        <v>622</v>
      </c>
      <c r="R143" t="s">
        <v>463</v>
      </c>
      <c r="S143" t="s">
        <v>990</v>
      </c>
      <c r="T143" t="s">
        <v>1007</v>
      </c>
      <c r="U143" t="s">
        <v>457</v>
      </c>
      <c r="V143" t="s">
        <v>865</v>
      </c>
      <c r="W143" t="s">
        <v>866</v>
      </c>
      <c r="X143" t="s">
        <v>477</v>
      </c>
      <c r="AE143" t="s">
        <v>403</v>
      </c>
    </row>
    <row r="144" spans="1:31" x14ac:dyDescent="0.2">
      <c r="A144" s="1">
        <v>1040142</v>
      </c>
      <c r="B144" t="s">
        <v>614</v>
      </c>
      <c r="C144">
        <v>5</v>
      </c>
      <c r="D144">
        <v>16</v>
      </c>
      <c r="F144" t="s">
        <v>622</v>
      </c>
      <c r="G144" t="s">
        <v>622</v>
      </c>
      <c r="H144" t="s">
        <v>622</v>
      </c>
      <c r="I144" t="s">
        <v>622</v>
      </c>
      <c r="J144" t="s">
        <v>622</v>
      </c>
      <c r="K144" t="s">
        <v>622</v>
      </c>
      <c r="L144" t="s">
        <v>622</v>
      </c>
      <c r="M144" t="s">
        <v>622</v>
      </c>
      <c r="N144" t="s">
        <v>670</v>
      </c>
      <c r="O144" t="s">
        <v>671</v>
      </c>
      <c r="R144" t="s">
        <v>463</v>
      </c>
      <c r="S144" t="s">
        <v>991</v>
      </c>
      <c r="T144" t="s">
        <v>751</v>
      </c>
      <c r="U144" t="s">
        <v>459</v>
      </c>
      <c r="V144" t="s">
        <v>865</v>
      </c>
      <c r="W144" t="s">
        <v>866</v>
      </c>
      <c r="X144" t="s">
        <v>477</v>
      </c>
      <c r="AE144" t="s">
        <v>404</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644FD-6F84-454B-92B0-F349EE8C1E2D}">
  <dimension ref="A1:T142"/>
  <sheetViews>
    <sheetView topLeftCell="A106" workbookViewId="0">
      <selection activeCell="K1" sqref="K1:T142"/>
    </sheetView>
  </sheetViews>
  <sheetFormatPr defaultRowHeight="14.25" x14ac:dyDescent="0.2"/>
  <sheetData>
    <row r="1" spans="1:20" x14ac:dyDescent="0.2">
      <c r="A1" s="10">
        <v>0.8</v>
      </c>
      <c r="B1" s="10"/>
      <c r="C1" s="10"/>
      <c r="D1" s="10"/>
      <c r="E1" s="10"/>
      <c r="F1" s="10"/>
      <c r="G1" s="10"/>
      <c r="H1" s="10"/>
      <c r="I1" s="10"/>
      <c r="J1" s="10"/>
      <c r="K1" s="5" t="str">
        <f>IF(A1&lt;&gt;"",TEXT(A1,"0%"),"")</f>
        <v>80%</v>
      </c>
      <c r="L1" s="5" t="str">
        <f t="shared" ref="L1:T1" si="0">IF(B1&lt;&gt;"",TEXT(B1,"0%"),"")</f>
        <v/>
      </c>
      <c r="M1" s="5" t="str">
        <f t="shared" si="0"/>
        <v/>
      </c>
      <c r="N1" s="5" t="str">
        <f t="shared" si="0"/>
        <v/>
      </c>
      <c r="O1" s="5" t="str">
        <f t="shared" si="0"/>
        <v/>
      </c>
      <c r="P1" s="5" t="str">
        <f t="shared" si="0"/>
        <v/>
      </c>
      <c r="Q1" s="5" t="str">
        <f t="shared" si="0"/>
        <v/>
      </c>
      <c r="R1" s="5" t="str">
        <f t="shared" si="0"/>
        <v/>
      </c>
      <c r="S1" s="5" t="str">
        <f t="shared" si="0"/>
        <v/>
      </c>
      <c r="T1" s="5" t="str">
        <f t="shared" si="0"/>
        <v/>
      </c>
    </row>
    <row r="2" spans="1:20" x14ac:dyDescent="0.2">
      <c r="A2" s="11"/>
      <c r="B2" s="11">
        <v>0.8</v>
      </c>
      <c r="C2" s="11"/>
      <c r="D2" s="11"/>
      <c r="E2" s="11"/>
      <c r="F2" s="11"/>
      <c r="G2" s="11"/>
      <c r="H2" s="11"/>
      <c r="I2" s="11"/>
      <c r="J2" s="11"/>
      <c r="K2" s="5" t="str">
        <f t="shared" ref="K2:K65" si="1">IF(A2&lt;&gt;"",TEXT(A2,"0%"),"")</f>
        <v/>
      </c>
      <c r="L2" s="5" t="str">
        <f t="shared" ref="L2:L65" si="2">IF(B2&lt;&gt;"",TEXT(B2,"0%"),"")</f>
        <v>80%</v>
      </c>
      <c r="M2" s="5" t="str">
        <f t="shared" ref="M2:M65" si="3">IF(C2&lt;&gt;"",TEXT(C2,"0%"),"")</f>
        <v/>
      </c>
      <c r="N2" s="5" t="str">
        <f t="shared" ref="N2:N65" si="4">IF(D2&lt;&gt;"",TEXT(D2,"0%"),"")</f>
        <v/>
      </c>
      <c r="O2" s="5" t="str">
        <f t="shared" ref="O2:O65" si="5">IF(E2&lt;&gt;"",TEXT(E2,"0%"),"")</f>
        <v/>
      </c>
      <c r="P2" s="5" t="str">
        <f t="shared" ref="P2:P65" si="6">IF(F2&lt;&gt;"",TEXT(F2,"0%"),"")</f>
        <v/>
      </c>
      <c r="Q2" s="5" t="str">
        <f t="shared" ref="Q2:Q65" si="7">IF(G2&lt;&gt;"",TEXT(G2,"0%"),"")</f>
        <v/>
      </c>
      <c r="R2" s="5" t="str">
        <f t="shared" ref="R2:R65" si="8">IF(H2&lt;&gt;"",TEXT(H2,"0%"),"")</f>
        <v/>
      </c>
      <c r="S2" s="5" t="str">
        <f t="shared" ref="S2:S65" si="9">IF(I2&lt;&gt;"",TEXT(I2,"0%"),"")</f>
        <v/>
      </c>
      <c r="T2" s="5" t="str">
        <f t="shared" ref="T2:T65" si="10">IF(J2&lt;&gt;"",TEXT(J2,"0%"),"")</f>
        <v/>
      </c>
    </row>
    <row r="3" spans="1:20" x14ac:dyDescent="0.2">
      <c r="A3" s="10">
        <v>0.8</v>
      </c>
      <c r="B3" s="10"/>
      <c r="C3" s="10"/>
      <c r="D3" s="10"/>
      <c r="E3" s="10"/>
      <c r="F3" s="10"/>
      <c r="G3" s="10"/>
      <c r="H3" s="10"/>
      <c r="I3" s="10"/>
      <c r="J3" s="10"/>
      <c r="K3" s="5" t="str">
        <f t="shared" si="1"/>
        <v>80%</v>
      </c>
      <c r="L3" s="5" t="str">
        <f t="shared" si="2"/>
        <v/>
      </c>
      <c r="M3" s="5" t="str">
        <f t="shared" si="3"/>
        <v/>
      </c>
      <c r="N3" s="5" t="str">
        <f t="shared" si="4"/>
        <v/>
      </c>
      <c r="O3" s="5" t="str">
        <f t="shared" si="5"/>
        <v/>
      </c>
      <c r="P3" s="5" t="str">
        <f t="shared" si="6"/>
        <v/>
      </c>
      <c r="Q3" s="5" t="str">
        <f t="shared" si="7"/>
        <v/>
      </c>
      <c r="R3" s="5" t="str">
        <f t="shared" si="8"/>
        <v/>
      </c>
      <c r="S3" s="5" t="str">
        <f t="shared" si="9"/>
        <v/>
      </c>
      <c r="T3" s="5" t="str">
        <f t="shared" si="10"/>
        <v/>
      </c>
    </row>
    <row r="4" spans="1:20" x14ac:dyDescent="0.2">
      <c r="A4" s="11"/>
      <c r="B4" s="11">
        <v>0.8</v>
      </c>
      <c r="C4" s="11"/>
      <c r="D4" s="11"/>
      <c r="E4" s="11"/>
      <c r="F4" s="11"/>
      <c r="G4" s="11"/>
      <c r="H4" s="11"/>
      <c r="I4" s="11"/>
      <c r="J4" s="11"/>
      <c r="K4" s="5" t="str">
        <f t="shared" si="1"/>
        <v/>
      </c>
      <c r="L4" s="5" t="str">
        <f t="shared" si="2"/>
        <v>80%</v>
      </c>
      <c r="M4" s="5" t="str">
        <f t="shared" si="3"/>
        <v/>
      </c>
      <c r="N4" s="5" t="str">
        <f t="shared" si="4"/>
        <v/>
      </c>
      <c r="O4" s="5" t="str">
        <f t="shared" si="5"/>
        <v/>
      </c>
      <c r="P4" s="5" t="str">
        <f t="shared" si="6"/>
        <v/>
      </c>
      <c r="Q4" s="5" t="str">
        <f t="shared" si="7"/>
        <v/>
      </c>
      <c r="R4" s="5" t="str">
        <f t="shared" si="8"/>
        <v/>
      </c>
      <c r="S4" s="5" t="str">
        <f t="shared" si="9"/>
        <v/>
      </c>
      <c r="T4" s="5" t="str">
        <f t="shared" si="10"/>
        <v/>
      </c>
    </row>
    <row r="5" spans="1:20" x14ac:dyDescent="0.2">
      <c r="A5" s="10"/>
      <c r="B5" s="10"/>
      <c r="C5" s="10"/>
      <c r="D5" s="10"/>
      <c r="E5" s="10">
        <v>0.4</v>
      </c>
      <c r="F5" s="10">
        <v>0.4</v>
      </c>
      <c r="G5" s="10"/>
      <c r="H5" s="10"/>
      <c r="I5" s="10">
        <v>0.28000000000000003</v>
      </c>
      <c r="J5" s="10"/>
      <c r="K5" s="5" t="str">
        <f t="shared" si="1"/>
        <v/>
      </c>
      <c r="L5" s="5" t="str">
        <f t="shared" si="2"/>
        <v/>
      </c>
      <c r="M5" s="5" t="str">
        <f t="shared" si="3"/>
        <v/>
      </c>
      <c r="N5" s="5" t="str">
        <f t="shared" si="4"/>
        <v/>
      </c>
      <c r="O5" s="5" t="str">
        <f t="shared" si="5"/>
        <v>40%</v>
      </c>
      <c r="P5" s="5" t="str">
        <f t="shared" si="6"/>
        <v>40%</v>
      </c>
      <c r="Q5" s="5" t="str">
        <f t="shared" si="7"/>
        <v/>
      </c>
      <c r="R5" s="5" t="str">
        <f t="shared" si="8"/>
        <v/>
      </c>
      <c r="S5" s="5" t="str">
        <f t="shared" si="9"/>
        <v>28%</v>
      </c>
      <c r="T5" s="5" t="str">
        <f t="shared" si="10"/>
        <v/>
      </c>
    </row>
    <row r="6" spans="1:20" x14ac:dyDescent="0.2">
      <c r="A6" s="11"/>
      <c r="B6" s="11"/>
      <c r="C6" s="11">
        <v>0.4</v>
      </c>
      <c r="D6" s="11">
        <v>0.4</v>
      </c>
      <c r="E6" s="11"/>
      <c r="F6" s="11"/>
      <c r="G6" s="11">
        <v>0.2</v>
      </c>
      <c r="H6" s="11">
        <v>0.2</v>
      </c>
      <c r="I6" s="11"/>
      <c r="J6" s="11"/>
      <c r="K6" s="5" t="str">
        <f t="shared" si="1"/>
        <v/>
      </c>
      <c r="L6" s="5" t="str">
        <f t="shared" si="2"/>
        <v/>
      </c>
      <c r="M6" s="5" t="str">
        <f t="shared" si="3"/>
        <v>40%</v>
      </c>
      <c r="N6" s="5" t="str">
        <f t="shared" si="4"/>
        <v>40%</v>
      </c>
      <c r="O6" s="5" t="str">
        <f t="shared" si="5"/>
        <v/>
      </c>
      <c r="P6" s="5" t="str">
        <f t="shared" si="6"/>
        <v/>
      </c>
      <c r="Q6" s="5" t="str">
        <f t="shared" si="7"/>
        <v>20%</v>
      </c>
      <c r="R6" s="5" t="str">
        <f t="shared" si="8"/>
        <v>20%</v>
      </c>
      <c r="S6" s="5" t="str">
        <f t="shared" si="9"/>
        <v/>
      </c>
      <c r="T6" s="5" t="str">
        <f t="shared" si="10"/>
        <v/>
      </c>
    </row>
    <row r="7" spans="1:20" x14ac:dyDescent="0.2">
      <c r="A7" s="10"/>
      <c r="B7" s="10"/>
      <c r="C7" s="10">
        <v>0.4</v>
      </c>
      <c r="D7" s="10">
        <v>0.4</v>
      </c>
      <c r="E7" s="10"/>
      <c r="F7" s="10"/>
      <c r="G7" s="10">
        <v>0.2</v>
      </c>
      <c r="H7" s="10">
        <v>0.2</v>
      </c>
      <c r="I7" s="10"/>
      <c r="J7" s="10"/>
      <c r="K7" s="5" t="str">
        <f t="shared" si="1"/>
        <v/>
      </c>
      <c r="L7" s="5" t="str">
        <f t="shared" si="2"/>
        <v/>
      </c>
      <c r="M7" s="5" t="str">
        <f t="shared" si="3"/>
        <v>40%</v>
      </c>
      <c r="N7" s="5" t="str">
        <f t="shared" si="4"/>
        <v>40%</v>
      </c>
      <c r="O7" s="5" t="str">
        <f t="shared" si="5"/>
        <v/>
      </c>
      <c r="P7" s="5" t="str">
        <f t="shared" si="6"/>
        <v/>
      </c>
      <c r="Q7" s="5" t="str">
        <f t="shared" si="7"/>
        <v>20%</v>
      </c>
      <c r="R7" s="5" t="str">
        <f t="shared" si="8"/>
        <v>20%</v>
      </c>
      <c r="S7" s="5" t="str">
        <f t="shared" si="9"/>
        <v/>
      </c>
      <c r="T7" s="5" t="str">
        <f t="shared" si="10"/>
        <v/>
      </c>
    </row>
    <row r="8" spans="1:20" x14ac:dyDescent="0.2">
      <c r="A8" s="11"/>
      <c r="B8" s="11"/>
      <c r="C8" s="11"/>
      <c r="D8" s="11"/>
      <c r="E8" s="11"/>
      <c r="F8" s="11"/>
      <c r="G8" s="11"/>
      <c r="H8" s="11"/>
      <c r="I8" s="11">
        <v>0.28000000000000003</v>
      </c>
      <c r="J8" s="11">
        <v>0.4</v>
      </c>
      <c r="K8" s="5" t="str">
        <f t="shared" si="1"/>
        <v/>
      </c>
      <c r="L8" s="5" t="str">
        <f t="shared" si="2"/>
        <v/>
      </c>
      <c r="M8" s="5" t="str">
        <f t="shared" si="3"/>
        <v/>
      </c>
      <c r="N8" s="5" t="str">
        <f t="shared" si="4"/>
        <v/>
      </c>
      <c r="O8" s="5" t="str">
        <f t="shared" si="5"/>
        <v/>
      </c>
      <c r="P8" s="5" t="str">
        <f t="shared" si="6"/>
        <v/>
      </c>
      <c r="Q8" s="5" t="str">
        <f t="shared" si="7"/>
        <v/>
      </c>
      <c r="R8" s="5" t="str">
        <f t="shared" si="8"/>
        <v/>
      </c>
      <c r="S8" s="5" t="str">
        <f t="shared" si="9"/>
        <v>28%</v>
      </c>
      <c r="T8" s="5" t="str">
        <f t="shared" si="10"/>
        <v>40%</v>
      </c>
    </row>
    <row r="9" spans="1:20" x14ac:dyDescent="0.2">
      <c r="A9" s="10">
        <v>0.8</v>
      </c>
      <c r="B9" s="10"/>
      <c r="C9" s="10"/>
      <c r="D9" s="10"/>
      <c r="E9" s="10"/>
      <c r="F9" s="10"/>
      <c r="G9" s="10"/>
      <c r="H9" s="10"/>
      <c r="I9" s="10"/>
      <c r="J9" s="10"/>
      <c r="K9" s="5" t="str">
        <f t="shared" si="1"/>
        <v>80%</v>
      </c>
      <c r="L9" s="5" t="str">
        <f t="shared" si="2"/>
        <v/>
      </c>
      <c r="M9" s="5" t="str">
        <f t="shared" si="3"/>
        <v/>
      </c>
      <c r="N9" s="5" t="str">
        <f t="shared" si="4"/>
        <v/>
      </c>
      <c r="O9" s="5" t="str">
        <f t="shared" si="5"/>
        <v/>
      </c>
      <c r="P9" s="5" t="str">
        <f t="shared" si="6"/>
        <v/>
      </c>
      <c r="Q9" s="5" t="str">
        <f t="shared" si="7"/>
        <v/>
      </c>
      <c r="R9" s="5" t="str">
        <f t="shared" si="8"/>
        <v/>
      </c>
      <c r="S9" s="5" t="str">
        <f t="shared" si="9"/>
        <v/>
      </c>
      <c r="T9" s="5" t="str">
        <f t="shared" si="10"/>
        <v/>
      </c>
    </row>
    <row r="10" spans="1:20" x14ac:dyDescent="0.2">
      <c r="A10" s="11">
        <v>0.8</v>
      </c>
      <c r="B10" s="11"/>
      <c r="C10" s="11"/>
      <c r="D10" s="11"/>
      <c r="E10" s="11"/>
      <c r="F10" s="11"/>
      <c r="G10" s="11"/>
      <c r="H10" s="11"/>
      <c r="I10" s="11"/>
      <c r="J10" s="11"/>
      <c r="K10" s="5" t="str">
        <f t="shared" si="1"/>
        <v>80%</v>
      </c>
      <c r="L10" s="5" t="str">
        <f t="shared" si="2"/>
        <v/>
      </c>
      <c r="M10" s="5" t="str">
        <f t="shared" si="3"/>
        <v/>
      </c>
      <c r="N10" s="5" t="str">
        <f t="shared" si="4"/>
        <v/>
      </c>
      <c r="O10" s="5" t="str">
        <f t="shared" si="5"/>
        <v/>
      </c>
      <c r="P10" s="5" t="str">
        <f t="shared" si="6"/>
        <v/>
      </c>
      <c r="Q10" s="5" t="str">
        <f t="shared" si="7"/>
        <v/>
      </c>
      <c r="R10" s="5" t="str">
        <f t="shared" si="8"/>
        <v/>
      </c>
      <c r="S10" s="5" t="str">
        <f t="shared" si="9"/>
        <v/>
      </c>
      <c r="T10" s="5" t="str">
        <f t="shared" si="10"/>
        <v/>
      </c>
    </row>
    <row r="11" spans="1:20" x14ac:dyDescent="0.2">
      <c r="A11" s="10"/>
      <c r="B11" s="10">
        <v>0.8</v>
      </c>
      <c r="C11" s="10"/>
      <c r="D11" s="10"/>
      <c r="E11" s="10"/>
      <c r="F11" s="10"/>
      <c r="G11" s="10"/>
      <c r="H11" s="10"/>
      <c r="I11" s="10"/>
      <c r="J11" s="10"/>
      <c r="K11" s="5" t="str">
        <f t="shared" si="1"/>
        <v/>
      </c>
      <c r="L11" s="5" t="str">
        <f t="shared" si="2"/>
        <v>80%</v>
      </c>
      <c r="M11" s="5" t="str">
        <f t="shared" si="3"/>
        <v/>
      </c>
      <c r="N11" s="5" t="str">
        <f t="shared" si="4"/>
        <v/>
      </c>
      <c r="O11" s="5" t="str">
        <f t="shared" si="5"/>
        <v/>
      </c>
      <c r="P11" s="5" t="str">
        <f t="shared" si="6"/>
        <v/>
      </c>
      <c r="Q11" s="5" t="str">
        <f t="shared" si="7"/>
        <v/>
      </c>
      <c r="R11" s="5" t="str">
        <f t="shared" si="8"/>
        <v/>
      </c>
      <c r="S11" s="5" t="str">
        <f t="shared" si="9"/>
        <v/>
      </c>
      <c r="T11" s="5" t="str">
        <f t="shared" si="10"/>
        <v/>
      </c>
    </row>
    <row r="12" spans="1:20" x14ac:dyDescent="0.2">
      <c r="A12" s="11">
        <v>0.8</v>
      </c>
      <c r="B12" s="11"/>
      <c r="C12" s="11"/>
      <c r="D12" s="11"/>
      <c r="E12" s="11"/>
      <c r="F12" s="11"/>
      <c r="G12" s="11"/>
      <c r="H12" s="11"/>
      <c r="I12" s="11"/>
      <c r="J12" s="11"/>
      <c r="K12" s="5" t="str">
        <f t="shared" si="1"/>
        <v>80%</v>
      </c>
      <c r="L12" s="5" t="str">
        <f t="shared" si="2"/>
        <v/>
      </c>
      <c r="M12" s="5" t="str">
        <f t="shared" si="3"/>
        <v/>
      </c>
      <c r="N12" s="5" t="str">
        <f t="shared" si="4"/>
        <v/>
      </c>
      <c r="O12" s="5" t="str">
        <f t="shared" si="5"/>
        <v/>
      </c>
      <c r="P12" s="5" t="str">
        <f t="shared" si="6"/>
        <v/>
      </c>
      <c r="Q12" s="5" t="str">
        <f t="shared" si="7"/>
        <v/>
      </c>
      <c r="R12" s="5" t="str">
        <f t="shared" si="8"/>
        <v/>
      </c>
      <c r="S12" s="5" t="str">
        <f t="shared" si="9"/>
        <v/>
      </c>
      <c r="T12" s="5" t="str">
        <f t="shared" si="10"/>
        <v/>
      </c>
    </row>
    <row r="13" spans="1:20" x14ac:dyDescent="0.2">
      <c r="A13" s="10">
        <v>0.85</v>
      </c>
      <c r="B13" s="10"/>
      <c r="C13" s="10"/>
      <c r="D13" s="10"/>
      <c r="E13" s="10"/>
      <c r="F13" s="10"/>
      <c r="G13" s="10"/>
      <c r="H13" s="10"/>
      <c r="I13" s="10"/>
      <c r="J13" s="10"/>
      <c r="K13" s="5" t="str">
        <f t="shared" si="1"/>
        <v>85%</v>
      </c>
      <c r="L13" s="5" t="str">
        <f t="shared" si="2"/>
        <v/>
      </c>
      <c r="M13" s="5" t="str">
        <f t="shared" si="3"/>
        <v/>
      </c>
      <c r="N13" s="5" t="str">
        <f t="shared" si="4"/>
        <v/>
      </c>
      <c r="O13" s="5" t="str">
        <f t="shared" si="5"/>
        <v/>
      </c>
      <c r="P13" s="5" t="str">
        <f t="shared" si="6"/>
        <v/>
      </c>
      <c r="Q13" s="5" t="str">
        <f t="shared" si="7"/>
        <v/>
      </c>
      <c r="R13" s="5" t="str">
        <f t="shared" si="8"/>
        <v/>
      </c>
      <c r="S13" s="5" t="str">
        <f t="shared" si="9"/>
        <v/>
      </c>
      <c r="T13" s="5" t="str">
        <f t="shared" si="10"/>
        <v/>
      </c>
    </row>
    <row r="14" spans="1:20" x14ac:dyDescent="0.2">
      <c r="A14" s="11"/>
      <c r="B14" s="11">
        <v>0.8</v>
      </c>
      <c r="C14" s="11"/>
      <c r="D14" s="11"/>
      <c r="E14" s="11"/>
      <c r="F14" s="11"/>
      <c r="G14" s="11"/>
      <c r="H14" s="11"/>
      <c r="I14" s="11"/>
      <c r="J14" s="11"/>
      <c r="K14" s="5" t="str">
        <f t="shared" si="1"/>
        <v/>
      </c>
      <c r="L14" s="5" t="str">
        <f t="shared" si="2"/>
        <v>80%</v>
      </c>
      <c r="M14" s="5" t="str">
        <f t="shared" si="3"/>
        <v/>
      </c>
      <c r="N14" s="5" t="str">
        <f t="shared" si="4"/>
        <v/>
      </c>
      <c r="O14" s="5" t="str">
        <f t="shared" si="5"/>
        <v/>
      </c>
      <c r="P14" s="5" t="str">
        <f t="shared" si="6"/>
        <v/>
      </c>
      <c r="Q14" s="5" t="str">
        <f t="shared" si="7"/>
        <v/>
      </c>
      <c r="R14" s="5" t="str">
        <f t="shared" si="8"/>
        <v/>
      </c>
      <c r="S14" s="5" t="str">
        <f t="shared" si="9"/>
        <v/>
      </c>
      <c r="T14" s="5" t="str">
        <f t="shared" si="10"/>
        <v/>
      </c>
    </row>
    <row r="15" spans="1:20" x14ac:dyDescent="0.2">
      <c r="A15" s="10"/>
      <c r="B15" s="10">
        <v>0.85</v>
      </c>
      <c r="C15" s="10"/>
      <c r="D15" s="10"/>
      <c r="E15" s="10"/>
      <c r="F15" s="10"/>
      <c r="G15" s="10"/>
      <c r="H15" s="10"/>
      <c r="I15" s="10"/>
      <c r="J15" s="10"/>
      <c r="K15" s="5" t="str">
        <f t="shared" si="1"/>
        <v/>
      </c>
      <c r="L15" s="5" t="str">
        <f t="shared" si="2"/>
        <v>85%</v>
      </c>
      <c r="M15" s="5" t="str">
        <f t="shared" si="3"/>
        <v/>
      </c>
      <c r="N15" s="5" t="str">
        <f t="shared" si="4"/>
        <v/>
      </c>
      <c r="O15" s="5" t="str">
        <f t="shared" si="5"/>
        <v/>
      </c>
      <c r="P15" s="5" t="str">
        <f t="shared" si="6"/>
        <v/>
      </c>
      <c r="Q15" s="5" t="str">
        <f t="shared" si="7"/>
        <v/>
      </c>
      <c r="R15" s="5" t="str">
        <f t="shared" si="8"/>
        <v/>
      </c>
      <c r="S15" s="5" t="str">
        <f t="shared" si="9"/>
        <v/>
      </c>
      <c r="T15" s="5" t="str">
        <f t="shared" si="10"/>
        <v/>
      </c>
    </row>
    <row r="16" spans="1:20" x14ac:dyDescent="0.2">
      <c r="A16" s="11"/>
      <c r="B16" s="11"/>
      <c r="C16" s="11"/>
      <c r="D16" s="11"/>
      <c r="E16" s="11">
        <v>0.4</v>
      </c>
      <c r="F16" s="11">
        <v>0.4</v>
      </c>
      <c r="G16" s="11"/>
      <c r="H16" s="11"/>
      <c r="I16" s="11">
        <v>0.28000000000000003</v>
      </c>
      <c r="J16" s="11"/>
      <c r="K16" s="5" t="str">
        <f t="shared" si="1"/>
        <v/>
      </c>
      <c r="L16" s="5" t="str">
        <f t="shared" si="2"/>
        <v/>
      </c>
      <c r="M16" s="5" t="str">
        <f t="shared" si="3"/>
        <v/>
      </c>
      <c r="N16" s="5" t="str">
        <f t="shared" si="4"/>
        <v/>
      </c>
      <c r="O16" s="5" t="str">
        <f t="shared" si="5"/>
        <v>40%</v>
      </c>
      <c r="P16" s="5" t="str">
        <f t="shared" si="6"/>
        <v>40%</v>
      </c>
      <c r="Q16" s="5" t="str">
        <f t="shared" si="7"/>
        <v/>
      </c>
      <c r="R16" s="5" t="str">
        <f t="shared" si="8"/>
        <v/>
      </c>
      <c r="S16" s="5" t="str">
        <f t="shared" si="9"/>
        <v>28%</v>
      </c>
      <c r="T16" s="5" t="str">
        <f t="shared" si="10"/>
        <v/>
      </c>
    </row>
    <row r="17" spans="1:20" x14ac:dyDescent="0.2">
      <c r="A17" s="10"/>
      <c r="B17" s="10"/>
      <c r="C17" s="10">
        <v>0.4</v>
      </c>
      <c r="D17" s="10">
        <v>0.4</v>
      </c>
      <c r="E17" s="10"/>
      <c r="F17" s="10"/>
      <c r="G17" s="10">
        <v>0.2</v>
      </c>
      <c r="H17" s="10">
        <v>0.2</v>
      </c>
      <c r="I17" s="10"/>
      <c r="J17" s="10"/>
      <c r="K17" s="5" t="str">
        <f t="shared" si="1"/>
        <v/>
      </c>
      <c r="L17" s="5" t="str">
        <f t="shared" si="2"/>
        <v/>
      </c>
      <c r="M17" s="5" t="str">
        <f t="shared" si="3"/>
        <v>40%</v>
      </c>
      <c r="N17" s="5" t="str">
        <f t="shared" si="4"/>
        <v>40%</v>
      </c>
      <c r="O17" s="5" t="str">
        <f t="shared" si="5"/>
        <v/>
      </c>
      <c r="P17" s="5" t="str">
        <f t="shared" si="6"/>
        <v/>
      </c>
      <c r="Q17" s="5" t="str">
        <f t="shared" si="7"/>
        <v>20%</v>
      </c>
      <c r="R17" s="5" t="str">
        <f t="shared" si="8"/>
        <v>20%</v>
      </c>
      <c r="S17" s="5" t="str">
        <f t="shared" si="9"/>
        <v/>
      </c>
      <c r="T17" s="5" t="str">
        <f t="shared" si="10"/>
        <v/>
      </c>
    </row>
    <row r="18" spans="1:20" x14ac:dyDescent="0.2">
      <c r="A18" s="11"/>
      <c r="B18" s="11"/>
      <c r="C18" s="11">
        <v>0.4</v>
      </c>
      <c r="D18" s="11">
        <v>0.4</v>
      </c>
      <c r="E18" s="11"/>
      <c r="F18" s="11"/>
      <c r="G18" s="11">
        <v>0.2</v>
      </c>
      <c r="H18" s="11">
        <v>0.2</v>
      </c>
      <c r="I18" s="11"/>
      <c r="J18" s="11"/>
      <c r="K18" s="5" t="str">
        <f t="shared" si="1"/>
        <v/>
      </c>
      <c r="L18" s="5" t="str">
        <f t="shared" si="2"/>
        <v/>
      </c>
      <c r="M18" s="5" t="str">
        <f t="shared" si="3"/>
        <v>40%</v>
      </c>
      <c r="N18" s="5" t="str">
        <f t="shared" si="4"/>
        <v>40%</v>
      </c>
      <c r="O18" s="5" t="str">
        <f t="shared" si="5"/>
        <v/>
      </c>
      <c r="P18" s="5" t="str">
        <f t="shared" si="6"/>
        <v/>
      </c>
      <c r="Q18" s="5" t="str">
        <f t="shared" si="7"/>
        <v>20%</v>
      </c>
      <c r="R18" s="5" t="str">
        <f t="shared" si="8"/>
        <v>20%</v>
      </c>
      <c r="S18" s="5" t="str">
        <f t="shared" si="9"/>
        <v/>
      </c>
      <c r="T18" s="5" t="str">
        <f t="shared" si="10"/>
        <v/>
      </c>
    </row>
    <row r="19" spans="1:20" x14ac:dyDescent="0.2">
      <c r="A19" s="10"/>
      <c r="B19" s="10"/>
      <c r="C19" s="10"/>
      <c r="D19" s="10"/>
      <c r="E19" s="10"/>
      <c r="F19" s="10"/>
      <c r="G19" s="10"/>
      <c r="H19" s="10"/>
      <c r="I19" s="10">
        <v>0.28000000000000003</v>
      </c>
      <c r="J19" s="10">
        <v>0.4</v>
      </c>
      <c r="K19" s="5" t="str">
        <f t="shared" si="1"/>
        <v/>
      </c>
      <c r="L19" s="5" t="str">
        <f t="shared" si="2"/>
        <v/>
      </c>
      <c r="M19" s="5" t="str">
        <f t="shared" si="3"/>
        <v/>
      </c>
      <c r="N19" s="5" t="str">
        <f t="shared" si="4"/>
        <v/>
      </c>
      <c r="O19" s="5" t="str">
        <f t="shared" si="5"/>
        <v/>
      </c>
      <c r="P19" s="5" t="str">
        <f t="shared" si="6"/>
        <v/>
      </c>
      <c r="Q19" s="5" t="str">
        <f t="shared" si="7"/>
        <v/>
      </c>
      <c r="R19" s="5" t="str">
        <f t="shared" si="8"/>
        <v/>
      </c>
      <c r="S19" s="5" t="str">
        <f t="shared" si="9"/>
        <v>28%</v>
      </c>
      <c r="T19" s="5" t="str">
        <f t="shared" si="10"/>
        <v>40%</v>
      </c>
    </row>
    <row r="20" spans="1:20" x14ac:dyDescent="0.2">
      <c r="A20" s="11">
        <v>0.9</v>
      </c>
      <c r="B20" s="11"/>
      <c r="C20" s="11"/>
      <c r="D20" s="11"/>
      <c r="E20" s="11"/>
      <c r="F20" s="11"/>
      <c r="G20" s="11"/>
      <c r="H20" s="11"/>
      <c r="I20" s="11"/>
      <c r="J20" s="11"/>
      <c r="K20" s="5" t="str">
        <f t="shared" si="1"/>
        <v>90%</v>
      </c>
      <c r="L20" s="5" t="str">
        <f t="shared" si="2"/>
        <v/>
      </c>
      <c r="M20" s="5" t="str">
        <f t="shared" si="3"/>
        <v/>
      </c>
      <c r="N20" s="5" t="str">
        <f t="shared" si="4"/>
        <v/>
      </c>
      <c r="O20" s="5" t="str">
        <f t="shared" si="5"/>
        <v/>
      </c>
      <c r="P20" s="5" t="str">
        <f t="shared" si="6"/>
        <v/>
      </c>
      <c r="Q20" s="5" t="str">
        <f t="shared" si="7"/>
        <v/>
      </c>
      <c r="R20" s="5" t="str">
        <f t="shared" si="8"/>
        <v/>
      </c>
      <c r="S20" s="5" t="str">
        <f t="shared" si="9"/>
        <v/>
      </c>
      <c r="T20" s="5" t="str">
        <f t="shared" si="10"/>
        <v/>
      </c>
    </row>
    <row r="21" spans="1:20" x14ac:dyDescent="0.2">
      <c r="A21" s="10"/>
      <c r="B21" s="10">
        <v>0.9</v>
      </c>
      <c r="C21" s="10"/>
      <c r="D21" s="10"/>
      <c r="E21" s="10"/>
      <c r="F21" s="10"/>
      <c r="G21" s="10"/>
      <c r="H21" s="10"/>
      <c r="I21" s="10"/>
      <c r="J21" s="10"/>
      <c r="K21" s="5" t="str">
        <f t="shared" si="1"/>
        <v/>
      </c>
      <c r="L21" s="5" t="str">
        <f t="shared" si="2"/>
        <v>90%</v>
      </c>
      <c r="M21" s="5" t="str">
        <f t="shared" si="3"/>
        <v/>
      </c>
      <c r="N21" s="5" t="str">
        <f t="shared" si="4"/>
        <v/>
      </c>
      <c r="O21" s="5" t="str">
        <f t="shared" si="5"/>
        <v/>
      </c>
      <c r="P21" s="5" t="str">
        <f t="shared" si="6"/>
        <v/>
      </c>
      <c r="Q21" s="5" t="str">
        <f t="shared" si="7"/>
        <v/>
      </c>
      <c r="R21" s="5" t="str">
        <f t="shared" si="8"/>
        <v/>
      </c>
      <c r="S21" s="5" t="str">
        <f t="shared" si="9"/>
        <v/>
      </c>
      <c r="T21" s="5" t="str">
        <f t="shared" si="10"/>
        <v/>
      </c>
    </row>
    <row r="22" spans="1:20" x14ac:dyDescent="0.2">
      <c r="A22" s="11"/>
      <c r="B22" s="11">
        <v>0.9</v>
      </c>
      <c r="C22" s="11"/>
      <c r="D22" s="11"/>
      <c r="E22" s="11"/>
      <c r="F22" s="11"/>
      <c r="G22" s="11"/>
      <c r="H22" s="11"/>
      <c r="I22" s="11"/>
      <c r="J22" s="11"/>
      <c r="K22" s="5" t="str">
        <f t="shared" si="1"/>
        <v/>
      </c>
      <c r="L22" s="5" t="str">
        <f t="shared" si="2"/>
        <v>90%</v>
      </c>
      <c r="M22" s="5" t="str">
        <f t="shared" si="3"/>
        <v/>
      </c>
      <c r="N22" s="5" t="str">
        <f t="shared" si="4"/>
        <v/>
      </c>
      <c r="O22" s="5" t="str">
        <f t="shared" si="5"/>
        <v/>
      </c>
      <c r="P22" s="5" t="str">
        <f t="shared" si="6"/>
        <v/>
      </c>
      <c r="Q22" s="5" t="str">
        <f t="shared" si="7"/>
        <v/>
      </c>
      <c r="R22" s="5" t="str">
        <f t="shared" si="8"/>
        <v/>
      </c>
      <c r="S22" s="5" t="str">
        <f t="shared" si="9"/>
        <v/>
      </c>
      <c r="T22" s="5" t="str">
        <f t="shared" si="10"/>
        <v/>
      </c>
    </row>
    <row r="23" spans="1:20" x14ac:dyDescent="0.2">
      <c r="A23" s="10">
        <v>0.9</v>
      </c>
      <c r="B23" s="10"/>
      <c r="C23" s="10"/>
      <c r="D23" s="10"/>
      <c r="E23" s="10"/>
      <c r="F23" s="10"/>
      <c r="G23" s="10"/>
      <c r="H23" s="10"/>
      <c r="I23" s="10"/>
      <c r="J23" s="10"/>
      <c r="K23" s="5" t="str">
        <f t="shared" si="1"/>
        <v>90%</v>
      </c>
      <c r="L23" s="5" t="str">
        <f t="shared" si="2"/>
        <v/>
      </c>
      <c r="M23" s="5" t="str">
        <f t="shared" si="3"/>
        <v/>
      </c>
      <c r="N23" s="5" t="str">
        <f t="shared" si="4"/>
        <v/>
      </c>
      <c r="O23" s="5" t="str">
        <f t="shared" si="5"/>
        <v/>
      </c>
      <c r="P23" s="5" t="str">
        <f t="shared" si="6"/>
        <v/>
      </c>
      <c r="Q23" s="5" t="str">
        <f t="shared" si="7"/>
        <v/>
      </c>
      <c r="R23" s="5" t="str">
        <f t="shared" si="8"/>
        <v/>
      </c>
      <c r="S23" s="5" t="str">
        <f t="shared" si="9"/>
        <v/>
      </c>
      <c r="T23" s="5" t="str">
        <f t="shared" si="10"/>
        <v/>
      </c>
    </row>
    <row r="24" spans="1:20" x14ac:dyDescent="0.2">
      <c r="A24" s="11">
        <v>0.92</v>
      </c>
      <c r="B24" s="11"/>
      <c r="C24" s="11"/>
      <c r="D24" s="11"/>
      <c r="E24" s="11"/>
      <c r="F24" s="11"/>
      <c r="G24" s="11"/>
      <c r="H24" s="11"/>
      <c r="I24" s="11"/>
      <c r="J24" s="11"/>
      <c r="K24" s="5" t="str">
        <f t="shared" si="1"/>
        <v>92%</v>
      </c>
      <c r="L24" s="5" t="str">
        <f t="shared" si="2"/>
        <v/>
      </c>
      <c r="M24" s="5" t="str">
        <f t="shared" si="3"/>
        <v/>
      </c>
      <c r="N24" s="5" t="str">
        <f t="shared" si="4"/>
        <v/>
      </c>
      <c r="O24" s="5" t="str">
        <f t="shared" si="5"/>
        <v/>
      </c>
      <c r="P24" s="5" t="str">
        <f t="shared" si="6"/>
        <v/>
      </c>
      <c r="Q24" s="5" t="str">
        <f t="shared" si="7"/>
        <v/>
      </c>
      <c r="R24" s="5" t="str">
        <f t="shared" si="8"/>
        <v/>
      </c>
      <c r="S24" s="5" t="str">
        <f t="shared" si="9"/>
        <v/>
      </c>
      <c r="T24" s="5" t="str">
        <f t="shared" si="10"/>
        <v/>
      </c>
    </row>
    <row r="25" spans="1:20" x14ac:dyDescent="0.2">
      <c r="A25" s="10"/>
      <c r="B25" s="10"/>
      <c r="C25" s="10"/>
      <c r="D25" s="10"/>
      <c r="E25" s="10">
        <v>0.5</v>
      </c>
      <c r="F25" s="10">
        <v>0.5</v>
      </c>
      <c r="G25" s="10"/>
      <c r="H25" s="10"/>
      <c r="I25" s="10">
        <v>0.35</v>
      </c>
      <c r="J25" s="10"/>
      <c r="K25" s="5" t="str">
        <f t="shared" si="1"/>
        <v/>
      </c>
      <c r="L25" s="5" t="str">
        <f t="shared" si="2"/>
        <v/>
      </c>
      <c r="M25" s="5" t="str">
        <f t="shared" si="3"/>
        <v/>
      </c>
      <c r="N25" s="5" t="str">
        <f t="shared" si="4"/>
        <v/>
      </c>
      <c r="O25" s="5" t="str">
        <f t="shared" si="5"/>
        <v>50%</v>
      </c>
      <c r="P25" s="5" t="str">
        <f t="shared" si="6"/>
        <v>50%</v>
      </c>
      <c r="Q25" s="5" t="str">
        <f t="shared" si="7"/>
        <v/>
      </c>
      <c r="R25" s="5" t="str">
        <f t="shared" si="8"/>
        <v/>
      </c>
      <c r="S25" s="5" t="str">
        <f t="shared" si="9"/>
        <v>35%</v>
      </c>
      <c r="T25" s="5" t="str">
        <f t="shared" si="10"/>
        <v/>
      </c>
    </row>
    <row r="26" spans="1:20" x14ac:dyDescent="0.2">
      <c r="A26" s="11"/>
      <c r="B26" s="11"/>
      <c r="C26" s="11">
        <v>0.5</v>
      </c>
      <c r="D26" s="11">
        <v>0.5</v>
      </c>
      <c r="E26" s="11"/>
      <c r="F26" s="11"/>
      <c r="G26" s="11">
        <v>0.25</v>
      </c>
      <c r="H26" s="11">
        <v>0.25</v>
      </c>
      <c r="I26" s="11"/>
      <c r="J26" s="11"/>
      <c r="K26" s="5" t="str">
        <f t="shared" si="1"/>
        <v/>
      </c>
      <c r="L26" s="5" t="str">
        <f t="shared" si="2"/>
        <v/>
      </c>
      <c r="M26" s="5" t="str">
        <f t="shared" si="3"/>
        <v>50%</v>
      </c>
      <c r="N26" s="5" t="str">
        <f t="shared" si="4"/>
        <v>50%</v>
      </c>
      <c r="O26" s="5" t="str">
        <f t="shared" si="5"/>
        <v/>
      </c>
      <c r="P26" s="5" t="str">
        <f t="shared" si="6"/>
        <v/>
      </c>
      <c r="Q26" s="5" t="str">
        <f t="shared" si="7"/>
        <v>25%</v>
      </c>
      <c r="R26" s="5" t="str">
        <f t="shared" si="8"/>
        <v>25%</v>
      </c>
      <c r="S26" s="5" t="str">
        <f t="shared" si="9"/>
        <v/>
      </c>
      <c r="T26" s="5" t="str">
        <f t="shared" si="10"/>
        <v/>
      </c>
    </row>
    <row r="27" spans="1:20" x14ac:dyDescent="0.2">
      <c r="A27" s="10"/>
      <c r="B27" s="10"/>
      <c r="C27" s="10">
        <v>0.5</v>
      </c>
      <c r="D27" s="10">
        <v>0.5</v>
      </c>
      <c r="E27" s="10"/>
      <c r="F27" s="10"/>
      <c r="G27" s="10">
        <v>0.25</v>
      </c>
      <c r="H27" s="10">
        <v>0.25</v>
      </c>
      <c r="I27" s="10"/>
      <c r="J27" s="10"/>
      <c r="K27" s="5" t="str">
        <f t="shared" si="1"/>
        <v/>
      </c>
      <c r="L27" s="5" t="str">
        <f t="shared" si="2"/>
        <v/>
      </c>
      <c r="M27" s="5" t="str">
        <f t="shared" si="3"/>
        <v>50%</v>
      </c>
      <c r="N27" s="5" t="str">
        <f t="shared" si="4"/>
        <v>50%</v>
      </c>
      <c r="O27" s="5" t="str">
        <f t="shared" si="5"/>
        <v/>
      </c>
      <c r="P27" s="5" t="str">
        <f t="shared" si="6"/>
        <v/>
      </c>
      <c r="Q27" s="5" t="str">
        <f t="shared" si="7"/>
        <v>25%</v>
      </c>
      <c r="R27" s="5" t="str">
        <f t="shared" si="8"/>
        <v>25%</v>
      </c>
      <c r="S27" s="5" t="str">
        <f t="shared" si="9"/>
        <v/>
      </c>
      <c r="T27" s="5" t="str">
        <f t="shared" si="10"/>
        <v/>
      </c>
    </row>
    <row r="28" spans="1:20" x14ac:dyDescent="0.2">
      <c r="A28" s="11"/>
      <c r="B28" s="11"/>
      <c r="C28" s="11"/>
      <c r="D28" s="11"/>
      <c r="E28" s="11"/>
      <c r="F28" s="11"/>
      <c r="G28" s="11"/>
      <c r="H28" s="11"/>
      <c r="I28" s="11">
        <v>0.35</v>
      </c>
      <c r="J28" s="11">
        <v>0.5</v>
      </c>
      <c r="K28" s="5" t="str">
        <f t="shared" si="1"/>
        <v/>
      </c>
      <c r="L28" s="5" t="str">
        <f t="shared" si="2"/>
        <v/>
      </c>
      <c r="M28" s="5" t="str">
        <f t="shared" si="3"/>
        <v/>
      </c>
      <c r="N28" s="5" t="str">
        <f t="shared" si="4"/>
        <v/>
      </c>
      <c r="O28" s="5" t="str">
        <f t="shared" si="5"/>
        <v/>
      </c>
      <c r="P28" s="5" t="str">
        <f t="shared" si="6"/>
        <v/>
      </c>
      <c r="Q28" s="5" t="str">
        <f t="shared" si="7"/>
        <v/>
      </c>
      <c r="R28" s="5" t="str">
        <f t="shared" si="8"/>
        <v/>
      </c>
      <c r="S28" s="5" t="str">
        <f t="shared" si="9"/>
        <v>35%</v>
      </c>
      <c r="T28" s="5" t="str">
        <f t="shared" si="10"/>
        <v>50%</v>
      </c>
    </row>
    <row r="29" spans="1:20" x14ac:dyDescent="0.2">
      <c r="A29" s="10"/>
      <c r="B29" s="10"/>
      <c r="C29" s="10">
        <v>0.45</v>
      </c>
      <c r="D29" s="10">
        <v>0.45</v>
      </c>
      <c r="E29" s="10"/>
      <c r="F29" s="10"/>
      <c r="G29" s="10">
        <v>0.22</v>
      </c>
      <c r="H29" s="10">
        <v>0.22</v>
      </c>
      <c r="I29" s="10"/>
      <c r="J29" s="10"/>
      <c r="K29" s="5" t="str">
        <f t="shared" si="1"/>
        <v/>
      </c>
      <c r="L29" s="5" t="str">
        <f t="shared" si="2"/>
        <v/>
      </c>
      <c r="M29" s="5" t="str">
        <f t="shared" si="3"/>
        <v>45%</v>
      </c>
      <c r="N29" s="5" t="str">
        <f t="shared" si="4"/>
        <v>45%</v>
      </c>
      <c r="O29" s="5" t="str">
        <f t="shared" si="5"/>
        <v/>
      </c>
      <c r="P29" s="5" t="str">
        <f t="shared" si="6"/>
        <v/>
      </c>
      <c r="Q29" s="5" t="str">
        <f t="shared" si="7"/>
        <v>22%</v>
      </c>
      <c r="R29" s="5" t="str">
        <f t="shared" si="8"/>
        <v>22%</v>
      </c>
      <c r="S29" s="5" t="str">
        <f t="shared" si="9"/>
        <v/>
      </c>
      <c r="T29" s="5" t="str">
        <f t="shared" si="10"/>
        <v/>
      </c>
    </row>
    <row r="30" spans="1:20" x14ac:dyDescent="0.2">
      <c r="A30" s="11">
        <v>1</v>
      </c>
      <c r="B30" s="11"/>
      <c r="C30" s="11"/>
      <c r="D30" s="11"/>
      <c r="E30" s="11"/>
      <c r="F30" s="11"/>
      <c r="G30" s="11"/>
      <c r="H30" s="11"/>
      <c r="I30" s="11"/>
      <c r="J30" s="11"/>
      <c r="K30" s="5" t="str">
        <f t="shared" si="1"/>
        <v>100%</v>
      </c>
      <c r="L30" s="5" t="str">
        <f t="shared" si="2"/>
        <v/>
      </c>
      <c r="M30" s="5" t="str">
        <f t="shared" si="3"/>
        <v/>
      </c>
      <c r="N30" s="5" t="str">
        <f t="shared" si="4"/>
        <v/>
      </c>
      <c r="O30" s="5" t="str">
        <f t="shared" si="5"/>
        <v/>
      </c>
      <c r="P30" s="5" t="str">
        <f t="shared" si="6"/>
        <v/>
      </c>
      <c r="Q30" s="5" t="str">
        <f t="shared" si="7"/>
        <v/>
      </c>
      <c r="R30" s="5" t="str">
        <f t="shared" si="8"/>
        <v/>
      </c>
      <c r="S30" s="5" t="str">
        <f t="shared" si="9"/>
        <v/>
      </c>
      <c r="T30" s="5" t="str">
        <f t="shared" si="10"/>
        <v/>
      </c>
    </row>
    <row r="31" spans="1:20" x14ac:dyDescent="0.2">
      <c r="A31" s="10"/>
      <c r="B31" s="10">
        <v>0.85</v>
      </c>
      <c r="C31" s="10"/>
      <c r="D31" s="10"/>
      <c r="E31" s="10"/>
      <c r="F31" s="10"/>
      <c r="G31" s="10"/>
      <c r="H31" s="10"/>
      <c r="I31" s="10"/>
      <c r="J31" s="10"/>
      <c r="K31" s="5" t="str">
        <f t="shared" si="1"/>
        <v/>
      </c>
      <c r="L31" s="5" t="str">
        <f t="shared" si="2"/>
        <v>85%</v>
      </c>
      <c r="M31" s="5" t="str">
        <f t="shared" si="3"/>
        <v/>
      </c>
      <c r="N31" s="5" t="str">
        <f t="shared" si="4"/>
        <v/>
      </c>
      <c r="O31" s="5" t="str">
        <f t="shared" si="5"/>
        <v/>
      </c>
      <c r="P31" s="5" t="str">
        <f t="shared" si="6"/>
        <v/>
      </c>
      <c r="Q31" s="5" t="str">
        <f t="shared" si="7"/>
        <v/>
      </c>
      <c r="R31" s="5" t="str">
        <f t="shared" si="8"/>
        <v/>
      </c>
      <c r="S31" s="5" t="str">
        <f t="shared" si="9"/>
        <v/>
      </c>
      <c r="T31" s="5" t="str">
        <f t="shared" si="10"/>
        <v/>
      </c>
    </row>
    <row r="32" spans="1:20" x14ac:dyDescent="0.2">
      <c r="A32" s="11">
        <v>0.85</v>
      </c>
      <c r="B32" s="11"/>
      <c r="C32" s="11"/>
      <c r="D32" s="11"/>
      <c r="E32" s="11"/>
      <c r="F32" s="11"/>
      <c r="G32" s="11"/>
      <c r="H32" s="11"/>
      <c r="I32" s="11"/>
      <c r="J32" s="11"/>
      <c r="K32" s="5" t="str">
        <f t="shared" si="1"/>
        <v>85%</v>
      </c>
      <c r="L32" s="5" t="str">
        <f t="shared" si="2"/>
        <v/>
      </c>
      <c r="M32" s="5" t="str">
        <f t="shared" si="3"/>
        <v/>
      </c>
      <c r="N32" s="5" t="str">
        <f t="shared" si="4"/>
        <v/>
      </c>
      <c r="O32" s="5" t="str">
        <f t="shared" si="5"/>
        <v/>
      </c>
      <c r="P32" s="5" t="str">
        <f t="shared" si="6"/>
        <v/>
      </c>
      <c r="Q32" s="5" t="str">
        <f t="shared" si="7"/>
        <v/>
      </c>
      <c r="R32" s="5" t="str">
        <f t="shared" si="8"/>
        <v/>
      </c>
      <c r="S32" s="5" t="str">
        <f t="shared" si="9"/>
        <v/>
      </c>
      <c r="T32" s="5" t="str">
        <f t="shared" si="10"/>
        <v/>
      </c>
    </row>
    <row r="33" spans="1:20" x14ac:dyDescent="0.2">
      <c r="A33" s="20"/>
      <c r="B33" s="20"/>
      <c r="C33" s="20"/>
      <c r="D33" s="20"/>
      <c r="E33" s="20"/>
      <c r="F33" s="20"/>
      <c r="G33" s="20"/>
      <c r="H33" s="20"/>
      <c r="I33" s="21">
        <v>0.42</v>
      </c>
      <c r="J33" s="21">
        <v>0.45</v>
      </c>
      <c r="K33" s="5" t="str">
        <f t="shared" si="1"/>
        <v/>
      </c>
      <c r="L33" s="5" t="str">
        <f t="shared" si="2"/>
        <v/>
      </c>
      <c r="M33" s="5" t="str">
        <f t="shared" si="3"/>
        <v/>
      </c>
      <c r="N33" s="5" t="str">
        <f t="shared" si="4"/>
        <v/>
      </c>
      <c r="O33" s="5" t="str">
        <f t="shared" si="5"/>
        <v/>
      </c>
      <c r="P33" s="5" t="str">
        <f t="shared" si="6"/>
        <v/>
      </c>
      <c r="Q33" s="5" t="str">
        <f t="shared" si="7"/>
        <v/>
      </c>
      <c r="R33" s="5" t="str">
        <f t="shared" si="8"/>
        <v/>
      </c>
      <c r="S33" s="5" t="str">
        <f t="shared" si="9"/>
        <v>42%</v>
      </c>
      <c r="T33" s="5" t="str">
        <f t="shared" si="10"/>
        <v>45%</v>
      </c>
    </row>
    <row r="34" spans="1:20" x14ac:dyDescent="0.2">
      <c r="A34" s="11"/>
      <c r="B34" s="11">
        <v>0.9</v>
      </c>
      <c r="C34" s="11"/>
      <c r="D34" s="11"/>
      <c r="E34" s="11"/>
      <c r="F34" s="11"/>
      <c r="G34" s="11"/>
      <c r="H34" s="11"/>
      <c r="I34" s="11"/>
      <c r="J34" s="11"/>
      <c r="K34" s="5" t="str">
        <f t="shared" si="1"/>
        <v/>
      </c>
      <c r="L34" s="5" t="str">
        <f t="shared" si="2"/>
        <v>90%</v>
      </c>
      <c r="M34" s="5" t="str">
        <f t="shared" si="3"/>
        <v/>
      </c>
      <c r="N34" s="5" t="str">
        <f t="shared" si="4"/>
        <v/>
      </c>
      <c r="O34" s="5" t="str">
        <f t="shared" si="5"/>
        <v/>
      </c>
      <c r="P34" s="5" t="str">
        <f t="shared" si="6"/>
        <v/>
      </c>
      <c r="Q34" s="5" t="str">
        <f t="shared" si="7"/>
        <v/>
      </c>
      <c r="R34" s="5" t="str">
        <f t="shared" si="8"/>
        <v/>
      </c>
      <c r="S34" s="5" t="str">
        <f t="shared" si="9"/>
        <v/>
      </c>
      <c r="T34" s="5" t="str">
        <f t="shared" si="10"/>
        <v/>
      </c>
    </row>
    <row r="35" spans="1:20" x14ac:dyDescent="0.2">
      <c r="A35" s="10"/>
      <c r="B35" s="10"/>
      <c r="C35" s="10">
        <v>0.4</v>
      </c>
      <c r="D35" s="10">
        <v>0.45</v>
      </c>
      <c r="E35" s="10"/>
      <c r="F35" s="10"/>
      <c r="G35" s="10">
        <v>0.2</v>
      </c>
      <c r="H35" s="10">
        <v>0.25</v>
      </c>
      <c r="I35" s="10"/>
      <c r="J35" s="10"/>
      <c r="K35" s="5" t="str">
        <f t="shared" si="1"/>
        <v/>
      </c>
      <c r="L35" s="5" t="str">
        <f t="shared" si="2"/>
        <v/>
      </c>
      <c r="M35" s="5" t="str">
        <f t="shared" si="3"/>
        <v>40%</v>
      </c>
      <c r="N35" s="5" t="str">
        <f t="shared" si="4"/>
        <v>45%</v>
      </c>
      <c r="O35" s="5" t="str">
        <f t="shared" si="5"/>
        <v/>
      </c>
      <c r="P35" s="5" t="str">
        <f t="shared" si="6"/>
        <v/>
      </c>
      <c r="Q35" s="5" t="str">
        <f t="shared" si="7"/>
        <v>20%</v>
      </c>
      <c r="R35" s="5" t="str">
        <f t="shared" si="8"/>
        <v>25%</v>
      </c>
      <c r="S35" s="5" t="str">
        <f t="shared" si="9"/>
        <v/>
      </c>
      <c r="T35" s="5" t="str">
        <f t="shared" si="10"/>
        <v/>
      </c>
    </row>
    <row r="36" spans="1:20" x14ac:dyDescent="0.2">
      <c r="A36" s="11">
        <v>0.9</v>
      </c>
      <c r="B36" s="11"/>
      <c r="C36" s="11"/>
      <c r="D36" s="11"/>
      <c r="E36" s="11"/>
      <c r="F36" s="11"/>
      <c r="G36" s="11"/>
      <c r="H36" s="11"/>
      <c r="I36" s="11"/>
      <c r="J36" s="11"/>
      <c r="K36" s="5" t="str">
        <f t="shared" si="1"/>
        <v>90%</v>
      </c>
      <c r="L36" s="5" t="str">
        <f t="shared" si="2"/>
        <v/>
      </c>
      <c r="M36" s="5" t="str">
        <f t="shared" si="3"/>
        <v/>
      </c>
      <c r="N36" s="5" t="str">
        <f t="shared" si="4"/>
        <v/>
      </c>
      <c r="O36" s="5" t="str">
        <f t="shared" si="5"/>
        <v/>
      </c>
      <c r="P36" s="5" t="str">
        <f t="shared" si="6"/>
        <v/>
      </c>
      <c r="Q36" s="5" t="str">
        <f t="shared" si="7"/>
        <v/>
      </c>
      <c r="R36" s="5" t="str">
        <f t="shared" si="8"/>
        <v/>
      </c>
      <c r="S36" s="5" t="str">
        <f t="shared" si="9"/>
        <v/>
      </c>
      <c r="T36" s="5" t="str">
        <f t="shared" si="10"/>
        <v/>
      </c>
    </row>
    <row r="37" spans="1:20" x14ac:dyDescent="0.2">
      <c r="A37" s="10"/>
      <c r="B37" s="10"/>
      <c r="C37" s="10"/>
      <c r="D37" s="10"/>
      <c r="E37" s="10">
        <v>0.45</v>
      </c>
      <c r="F37" s="10">
        <v>0.45</v>
      </c>
      <c r="G37" s="10"/>
      <c r="H37" s="10"/>
      <c r="I37" s="10">
        <v>0</v>
      </c>
      <c r="J37" s="10"/>
      <c r="K37" s="5" t="str">
        <f t="shared" si="1"/>
        <v/>
      </c>
      <c r="L37" s="5" t="str">
        <f t="shared" si="2"/>
        <v/>
      </c>
      <c r="M37" s="5" t="str">
        <f t="shared" si="3"/>
        <v/>
      </c>
      <c r="N37" s="5" t="str">
        <f t="shared" si="4"/>
        <v/>
      </c>
      <c r="O37" s="5" t="str">
        <f t="shared" si="5"/>
        <v>45%</v>
      </c>
      <c r="P37" s="5" t="str">
        <f t="shared" si="6"/>
        <v>45%</v>
      </c>
      <c r="Q37" s="5" t="str">
        <f t="shared" si="7"/>
        <v/>
      </c>
      <c r="R37" s="5" t="str">
        <f t="shared" si="8"/>
        <v/>
      </c>
      <c r="S37" s="5" t="str">
        <f t="shared" si="9"/>
        <v>0%</v>
      </c>
      <c r="T37" s="5" t="str">
        <f t="shared" si="10"/>
        <v/>
      </c>
    </row>
    <row r="38" spans="1:20" x14ac:dyDescent="0.2">
      <c r="A38" s="11">
        <v>0.9</v>
      </c>
      <c r="B38" s="11"/>
      <c r="C38" s="11"/>
      <c r="D38" s="11"/>
      <c r="E38" s="11"/>
      <c r="F38" s="11"/>
      <c r="G38" s="11"/>
      <c r="H38" s="11"/>
      <c r="I38" s="11"/>
      <c r="J38" s="11"/>
      <c r="K38" s="5" t="str">
        <f t="shared" si="1"/>
        <v>90%</v>
      </c>
      <c r="L38" s="5" t="str">
        <f t="shared" si="2"/>
        <v/>
      </c>
      <c r="M38" s="5" t="str">
        <f t="shared" si="3"/>
        <v/>
      </c>
      <c r="N38" s="5" t="str">
        <f t="shared" si="4"/>
        <v/>
      </c>
      <c r="O38" s="5" t="str">
        <f t="shared" si="5"/>
        <v/>
      </c>
      <c r="P38" s="5" t="str">
        <f t="shared" si="6"/>
        <v/>
      </c>
      <c r="Q38" s="5" t="str">
        <f t="shared" si="7"/>
        <v/>
      </c>
      <c r="R38" s="5" t="str">
        <f t="shared" si="8"/>
        <v/>
      </c>
      <c r="S38" s="5" t="str">
        <f t="shared" si="9"/>
        <v/>
      </c>
      <c r="T38" s="5" t="str">
        <f t="shared" si="10"/>
        <v/>
      </c>
    </row>
    <row r="39" spans="1:20" x14ac:dyDescent="0.2">
      <c r="A39" s="10"/>
      <c r="B39" s="10">
        <v>1.1000000000000001</v>
      </c>
      <c r="C39" s="10"/>
      <c r="D39" s="10"/>
      <c r="E39" s="10"/>
      <c r="F39" s="10"/>
      <c r="G39" s="10"/>
      <c r="H39" s="10"/>
      <c r="I39" s="10"/>
      <c r="J39" s="10"/>
      <c r="K39" s="5" t="str">
        <f t="shared" si="1"/>
        <v/>
      </c>
      <c r="L39" s="5" t="str">
        <f t="shared" si="2"/>
        <v>110%</v>
      </c>
      <c r="M39" s="5" t="str">
        <f t="shared" si="3"/>
        <v/>
      </c>
      <c r="N39" s="5" t="str">
        <f t="shared" si="4"/>
        <v/>
      </c>
      <c r="O39" s="5" t="str">
        <f t="shared" si="5"/>
        <v/>
      </c>
      <c r="P39" s="5" t="str">
        <f t="shared" si="6"/>
        <v/>
      </c>
      <c r="Q39" s="5" t="str">
        <f t="shared" si="7"/>
        <v/>
      </c>
      <c r="R39" s="5" t="str">
        <f t="shared" si="8"/>
        <v/>
      </c>
      <c r="S39" s="5" t="str">
        <f t="shared" si="9"/>
        <v/>
      </c>
      <c r="T39" s="5" t="str">
        <f t="shared" si="10"/>
        <v/>
      </c>
    </row>
    <row r="40" spans="1:20" x14ac:dyDescent="0.2">
      <c r="A40" s="11">
        <v>0.9</v>
      </c>
      <c r="B40" s="11"/>
      <c r="C40" s="11"/>
      <c r="D40" s="11"/>
      <c r="E40" s="11"/>
      <c r="F40" s="11"/>
      <c r="G40" s="11"/>
      <c r="H40" s="11"/>
      <c r="I40" s="11"/>
      <c r="J40" s="11"/>
      <c r="K40" s="5" t="str">
        <f t="shared" si="1"/>
        <v>90%</v>
      </c>
      <c r="L40" s="5" t="str">
        <f t="shared" si="2"/>
        <v/>
      </c>
      <c r="M40" s="5" t="str">
        <f t="shared" si="3"/>
        <v/>
      </c>
      <c r="N40" s="5" t="str">
        <f t="shared" si="4"/>
        <v/>
      </c>
      <c r="O40" s="5" t="str">
        <f t="shared" si="5"/>
        <v/>
      </c>
      <c r="P40" s="5" t="str">
        <f t="shared" si="6"/>
        <v/>
      </c>
      <c r="Q40" s="5" t="str">
        <f t="shared" si="7"/>
        <v/>
      </c>
      <c r="R40" s="5" t="str">
        <f t="shared" si="8"/>
        <v/>
      </c>
      <c r="S40" s="5" t="str">
        <f t="shared" si="9"/>
        <v/>
      </c>
      <c r="T40" s="5" t="str">
        <f t="shared" si="10"/>
        <v/>
      </c>
    </row>
    <row r="41" spans="1:20" x14ac:dyDescent="0.2">
      <c r="A41" s="10">
        <v>0.85</v>
      </c>
      <c r="B41" s="10"/>
      <c r="C41" s="10"/>
      <c r="D41" s="10"/>
      <c r="E41" s="10"/>
      <c r="F41" s="10"/>
      <c r="G41" s="10"/>
      <c r="H41" s="10"/>
      <c r="I41" s="10"/>
      <c r="J41" s="10"/>
      <c r="K41" s="5" t="str">
        <f t="shared" si="1"/>
        <v>85%</v>
      </c>
      <c r="L41" s="5" t="str">
        <f t="shared" si="2"/>
        <v/>
      </c>
      <c r="M41" s="5" t="str">
        <f t="shared" si="3"/>
        <v/>
      </c>
      <c r="N41" s="5" t="str">
        <f t="shared" si="4"/>
        <v/>
      </c>
      <c r="O41" s="5" t="str">
        <f t="shared" si="5"/>
        <v/>
      </c>
      <c r="P41" s="5" t="str">
        <f t="shared" si="6"/>
        <v/>
      </c>
      <c r="Q41" s="5" t="str">
        <f t="shared" si="7"/>
        <v/>
      </c>
      <c r="R41" s="5" t="str">
        <f t="shared" si="8"/>
        <v/>
      </c>
      <c r="S41" s="5" t="str">
        <f t="shared" si="9"/>
        <v/>
      </c>
      <c r="T41" s="5" t="str">
        <f t="shared" si="10"/>
        <v/>
      </c>
    </row>
    <row r="42" spans="1:20" x14ac:dyDescent="0.2">
      <c r="A42" s="11">
        <v>0.5</v>
      </c>
      <c r="B42" s="11"/>
      <c r="C42" s="11"/>
      <c r="D42" s="11"/>
      <c r="E42" s="11"/>
      <c r="F42" s="11"/>
      <c r="G42" s="11"/>
      <c r="H42" s="11"/>
      <c r="I42" s="11"/>
      <c r="J42" s="11"/>
      <c r="K42" s="5" t="str">
        <f t="shared" si="1"/>
        <v>50%</v>
      </c>
      <c r="L42" s="5" t="str">
        <f t="shared" si="2"/>
        <v/>
      </c>
      <c r="M42" s="5" t="str">
        <f t="shared" si="3"/>
        <v/>
      </c>
      <c r="N42" s="5" t="str">
        <f t="shared" si="4"/>
        <v/>
      </c>
      <c r="O42" s="5" t="str">
        <f t="shared" si="5"/>
        <v/>
      </c>
      <c r="P42" s="5" t="str">
        <f t="shared" si="6"/>
        <v/>
      </c>
      <c r="Q42" s="5" t="str">
        <f t="shared" si="7"/>
        <v/>
      </c>
      <c r="R42" s="5" t="str">
        <f t="shared" si="8"/>
        <v/>
      </c>
      <c r="S42" s="5" t="str">
        <f t="shared" si="9"/>
        <v/>
      </c>
      <c r="T42" s="5" t="str">
        <f t="shared" si="10"/>
        <v/>
      </c>
    </row>
    <row r="43" spans="1:20" x14ac:dyDescent="0.2">
      <c r="A43" s="10"/>
      <c r="B43" s="10"/>
      <c r="C43" s="10"/>
      <c r="D43" s="10"/>
      <c r="E43" s="10">
        <v>0.5</v>
      </c>
      <c r="F43" s="10">
        <v>0.5</v>
      </c>
      <c r="G43" s="10"/>
      <c r="H43" s="10"/>
      <c r="I43" s="10">
        <v>0.35</v>
      </c>
      <c r="J43" s="10"/>
      <c r="K43" s="5" t="str">
        <f t="shared" si="1"/>
        <v/>
      </c>
      <c r="L43" s="5" t="str">
        <f t="shared" si="2"/>
        <v/>
      </c>
      <c r="M43" s="5" t="str">
        <f t="shared" si="3"/>
        <v/>
      </c>
      <c r="N43" s="5" t="str">
        <f t="shared" si="4"/>
        <v/>
      </c>
      <c r="O43" s="5" t="str">
        <f t="shared" si="5"/>
        <v>50%</v>
      </c>
      <c r="P43" s="5" t="str">
        <f t="shared" si="6"/>
        <v>50%</v>
      </c>
      <c r="Q43" s="5" t="str">
        <f t="shared" si="7"/>
        <v/>
      </c>
      <c r="R43" s="5" t="str">
        <f t="shared" si="8"/>
        <v/>
      </c>
      <c r="S43" s="5" t="str">
        <f t="shared" si="9"/>
        <v>35%</v>
      </c>
      <c r="T43" s="5" t="str">
        <f t="shared" si="10"/>
        <v/>
      </c>
    </row>
    <row r="44" spans="1:20" x14ac:dyDescent="0.2">
      <c r="A44" s="11"/>
      <c r="B44" s="11"/>
      <c r="C44" s="11"/>
      <c r="D44" s="11"/>
      <c r="E44" s="11">
        <v>0.45</v>
      </c>
      <c r="F44" s="11">
        <v>0.45</v>
      </c>
      <c r="G44" s="11"/>
      <c r="H44" s="11"/>
      <c r="I44" s="11">
        <v>0.35</v>
      </c>
      <c r="J44" s="11"/>
      <c r="K44" s="5" t="str">
        <f t="shared" si="1"/>
        <v/>
      </c>
      <c r="L44" s="5" t="str">
        <f t="shared" si="2"/>
        <v/>
      </c>
      <c r="M44" s="5" t="str">
        <f t="shared" si="3"/>
        <v/>
      </c>
      <c r="N44" s="5" t="str">
        <f t="shared" si="4"/>
        <v/>
      </c>
      <c r="O44" s="5" t="str">
        <f t="shared" si="5"/>
        <v>45%</v>
      </c>
      <c r="P44" s="5" t="str">
        <f t="shared" si="6"/>
        <v>45%</v>
      </c>
      <c r="Q44" s="5" t="str">
        <f t="shared" si="7"/>
        <v/>
      </c>
      <c r="R44" s="5" t="str">
        <f t="shared" si="8"/>
        <v/>
      </c>
      <c r="S44" s="5" t="str">
        <f t="shared" si="9"/>
        <v>35%</v>
      </c>
      <c r="T44" s="5" t="str">
        <f t="shared" si="10"/>
        <v/>
      </c>
    </row>
    <row r="45" spans="1:20" x14ac:dyDescent="0.2">
      <c r="A45" s="10"/>
      <c r="B45" s="10"/>
      <c r="C45" s="10">
        <v>0.5</v>
      </c>
      <c r="D45" s="10">
        <v>0.5</v>
      </c>
      <c r="E45" s="10"/>
      <c r="F45" s="10"/>
      <c r="G45" s="10">
        <v>0.25</v>
      </c>
      <c r="H45" s="10">
        <v>0.25</v>
      </c>
      <c r="I45" s="10"/>
      <c r="J45" s="10"/>
      <c r="K45" s="5" t="str">
        <f t="shared" si="1"/>
        <v/>
      </c>
      <c r="L45" s="5" t="str">
        <f t="shared" si="2"/>
        <v/>
      </c>
      <c r="M45" s="5" t="str">
        <f t="shared" si="3"/>
        <v>50%</v>
      </c>
      <c r="N45" s="5" t="str">
        <f t="shared" si="4"/>
        <v>50%</v>
      </c>
      <c r="O45" s="5" t="str">
        <f t="shared" si="5"/>
        <v/>
      </c>
      <c r="P45" s="5" t="str">
        <f t="shared" si="6"/>
        <v/>
      </c>
      <c r="Q45" s="5" t="str">
        <f t="shared" si="7"/>
        <v>25%</v>
      </c>
      <c r="R45" s="5" t="str">
        <f t="shared" si="8"/>
        <v>25%</v>
      </c>
      <c r="S45" s="5" t="str">
        <f t="shared" si="9"/>
        <v/>
      </c>
      <c r="T45" s="5" t="str">
        <f t="shared" si="10"/>
        <v/>
      </c>
    </row>
    <row r="46" spans="1:20" x14ac:dyDescent="0.2">
      <c r="A46" s="11"/>
      <c r="B46" s="11"/>
      <c r="C46" s="11">
        <v>0.5</v>
      </c>
      <c r="D46" s="11">
        <v>0.5</v>
      </c>
      <c r="E46" s="11"/>
      <c r="F46" s="11"/>
      <c r="G46" s="11">
        <v>0.2</v>
      </c>
      <c r="H46" s="11">
        <v>0.2</v>
      </c>
      <c r="I46" s="11"/>
      <c r="J46" s="11"/>
      <c r="K46" s="5" t="str">
        <f t="shared" si="1"/>
        <v/>
      </c>
      <c r="L46" s="5" t="str">
        <f t="shared" si="2"/>
        <v/>
      </c>
      <c r="M46" s="5" t="str">
        <f t="shared" si="3"/>
        <v>50%</v>
      </c>
      <c r="N46" s="5" t="str">
        <f t="shared" si="4"/>
        <v>50%</v>
      </c>
      <c r="O46" s="5" t="str">
        <f t="shared" si="5"/>
        <v/>
      </c>
      <c r="P46" s="5" t="str">
        <f t="shared" si="6"/>
        <v/>
      </c>
      <c r="Q46" s="5" t="str">
        <f t="shared" si="7"/>
        <v>20%</v>
      </c>
      <c r="R46" s="5" t="str">
        <f t="shared" si="8"/>
        <v>20%</v>
      </c>
      <c r="S46" s="5" t="str">
        <f t="shared" si="9"/>
        <v/>
      </c>
      <c r="T46" s="5" t="str">
        <f t="shared" si="10"/>
        <v/>
      </c>
    </row>
    <row r="47" spans="1:20" x14ac:dyDescent="0.2">
      <c r="A47" s="10">
        <v>1.1000000000000001</v>
      </c>
      <c r="B47" s="10"/>
      <c r="C47" s="10"/>
      <c r="D47" s="10"/>
      <c r="E47" s="10"/>
      <c r="F47" s="10"/>
      <c r="G47" s="10"/>
      <c r="H47" s="10"/>
      <c r="I47" s="10"/>
      <c r="J47" s="10"/>
      <c r="K47" s="5" t="str">
        <f t="shared" si="1"/>
        <v>110%</v>
      </c>
      <c r="L47" s="5" t="str">
        <f t="shared" si="2"/>
        <v/>
      </c>
      <c r="M47" s="5" t="str">
        <f t="shared" si="3"/>
        <v/>
      </c>
      <c r="N47" s="5" t="str">
        <f t="shared" si="4"/>
        <v/>
      </c>
      <c r="O47" s="5" t="str">
        <f t="shared" si="5"/>
        <v/>
      </c>
      <c r="P47" s="5" t="str">
        <f t="shared" si="6"/>
        <v/>
      </c>
      <c r="Q47" s="5" t="str">
        <f t="shared" si="7"/>
        <v/>
      </c>
      <c r="R47" s="5" t="str">
        <f t="shared" si="8"/>
        <v/>
      </c>
      <c r="S47" s="5" t="str">
        <f t="shared" si="9"/>
        <v/>
      </c>
      <c r="T47" s="5" t="str">
        <f t="shared" si="10"/>
        <v/>
      </c>
    </row>
    <row r="48" spans="1:20" x14ac:dyDescent="0.2">
      <c r="A48" s="11"/>
      <c r="B48" s="11"/>
      <c r="C48" s="11"/>
      <c r="D48" s="11"/>
      <c r="E48" s="11"/>
      <c r="F48" s="11"/>
      <c r="G48" s="11"/>
      <c r="H48" s="11"/>
      <c r="I48" s="11">
        <v>0.35</v>
      </c>
      <c r="J48" s="11">
        <v>0.5</v>
      </c>
      <c r="K48" s="5" t="str">
        <f t="shared" si="1"/>
        <v/>
      </c>
      <c r="L48" s="5" t="str">
        <f t="shared" si="2"/>
        <v/>
      </c>
      <c r="M48" s="5" t="str">
        <f t="shared" si="3"/>
        <v/>
      </c>
      <c r="N48" s="5" t="str">
        <f t="shared" si="4"/>
        <v/>
      </c>
      <c r="O48" s="5" t="str">
        <f t="shared" si="5"/>
        <v/>
      </c>
      <c r="P48" s="5" t="str">
        <f t="shared" si="6"/>
        <v/>
      </c>
      <c r="Q48" s="5" t="str">
        <f t="shared" si="7"/>
        <v/>
      </c>
      <c r="R48" s="5" t="str">
        <f t="shared" si="8"/>
        <v/>
      </c>
      <c r="S48" s="5" t="str">
        <f t="shared" si="9"/>
        <v>35%</v>
      </c>
      <c r="T48" s="5" t="str">
        <f t="shared" si="10"/>
        <v>50%</v>
      </c>
    </row>
    <row r="49" spans="1:20" x14ac:dyDescent="0.2">
      <c r="A49" s="10">
        <v>1</v>
      </c>
      <c r="B49" s="10"/>
      <c r="C49" s="10"/>
      <c r="D49" s="10"/>
      <c r="E49" s="10"/>
      <c r="F49" s="10"/>
      <c r="G49" s="10"/>
      <c r="H49" s="10"/>
      <c r="I49" s="10"/>
      <c r="J49" s="10"/>
      <c r="K49" s="5" t="str">
        <f t="shared" si="1"/>
        <v>100%</v>
      </c>
      <c r="L49" s="5" t="str">
        <f t="shared" si="2"/>
        <v/>
      </c>
      <c r="M49" s="5" t="str">
        <f t="shared" si="3"/>
        <v/>
      </c>
      <c r="N49" s="5" t="str">
        <f t="shared" si="4"/>
        <v/>
      </c>
      <c r="O49" s="5" t="str">
        <f t="shared" si="5"/>
        <v/>
      </c>
      <c r="P49" s="5" t="str">
        <f t="shared" si="6"/>
        <v/>
      </c>
      <c r="Q49" s="5" t="str">
        <f t="shared" si="7"/>
        <v/>
      </c>
      <c r="R49" s="5" t="str">
        <f t="shared" si="8"/>
        <v/>
      </c>
      <c r="S49" s="5" t="str">
        <f t="shared" si="9"/>
        <v/>
      </c>
      <c r="T49" s="5" t="str">
        <f t="shared" si="10"/>
        <v/>
      </c>
    </row>
    <row r="50" spans="1:20" x14ac:dyDescent="0.2">
      <c r="A50" s="11">
        <v>1.2</v>
      </c>
      <c r="B50" s="11"/>
      <c r="C50" s="11"/>
      <c r="D50" s="11"/>
      <c r="E50" s="11"/>
      <c r="F50" s="11"/>
      <c r="G50" s="11"/>
      <c r="H50" s="11"/>
      <c r="I50" s="11"/>
      <c r="J50" s="11"/>
      <c r="K50" s="5" t="str">
        <f t="shared" si="1"/>
        <v>120%</v>
      </c>
      <c r="L50" s="5" t="str">
        <f t="shared" si="2"/>
        <v/>
      </c>
      <c r="M50" s="5" t="str">
        <f t="shared" si="3"/>
        <v/>
      </c>
      <c r="N50" s="5" t="str">
        <f t="shared" si="4"/>
        <v/>
      </c>
      <c r="O50" s="5" t="str">
        <f t="shared" si="5"/>
        <v/>
      </c>
      <c r="P50" s="5" t="str">
        <f t="shared" si="6"/>
        <v/>
      </c>
      <c r="Q50" s="5" t="str">
        <f t="shared" si="7"/>
        <v/>
      </c>
      <c r="R50" s="5" t="str">
        <f t="shared" si="8"/>
        <v/>
      </c>
      <c r="S50" s="5" t="str">
        <f t="shared" si="9"/>
        <v/>
      </c>
      <c r="T50" s="5" t="str">
        <f t="shared" si="10"/>
        <v/>
      </c>
    </row>
    <row r="51" spans="1:20" x14ac:dyDescent="0.2">
      <c r="A51" s="10"/>
      <c r="B51" s="10"/>
      <c r="C51" s="10"/>
      <c r="D51" s="10"/>
      <c r="E51" s="10">
        <v>0.46</v>
      </c>
      <c r="F51" s="10">
        <v>0.46</v>
      </c>
      <c r="G51" s="10"/>
      <c r="H51" s="10"/>
      <c r="I51" s="10">
        <v>0.4</v>
      </c>
      <c r="J51" s="10"/>
      <c r="K51" s="5" t="str">
        <f t="shared" si="1"/>
        <v/>
      </c>
      <c r="L51" s="5" t="str">
        <f t="shared" si="2"/>
        <v/>
      </c>
      <c r="M51" s="5" t="str">
        <f t="shared" si="3"/>
        <v/>
      </c>
      <c r="N51" s="5" t="str">
        <f t="shared" si="4"/>
        <v/>
      </c>
      <c r="O51" s="5" t="str">
        <f t="shared" si="5"/>
        <v>46%</v>
      </c>
      <c r="P51" s="5" t="str">
        <f t="shared" si="6"/>
        <v>46%</v>
      </c>
      <c r="Q51" s="5" t="str">
        <f t="shared" si="7"/>
        <v/>
      </c>
      <c r="R51" s="5" t="str">
        <f t="shared" si="8"/>
        <v/>
      </c>
      <c r="S51" s="5" t="str">
        <f t="shared" si="9"/>
        <v>40%</v>
      </c>
      <c r="T51" s="5" t="str">
        <f t="shared" si="10"/>
        <v/>
      </c>
    </row>
    <row r="52" spans="1:20" x14ac:dyDescent="0.2">
      <c r="A52" s="11"/>
      <c r="B52" s="11">
        <v>0.9</v>
      </c>
      <c r="C52" s="11"/>
      <c r="D52" s="11"/>
      <c r="E52" s="11"/>
      <c r="F52" s="11"/>
      <c r="G52" s="11"/>
      <c r="H52" s="11"/>
      <c r="I52" s="11"/>
      <c r="J52" s="11"/>
      <c r="K52" s="5" t="str">
        <f t="shared" si="1"/>
        <v/>
      </c>
      <c r="L52" s="5" t="str">
        <f t="shared" si="2"/>
        <v>90%</v>
      </c>
      <c r="M52" s="5" t="str">
        <f t="shared" si="3"/>
        <v/>
      </c>
      <c r="N52" s="5" t="str">
        <f t="shared" si="4"/>
        <v/>
      </c>
      <c r="O52" s="5" t="str">
        <f t="shared" si="5"/>
        <v/>
      </c>
      <c r="P52" s="5" t="str">
        <f t="shared" si="6"/>
        <v/>
      </c>
      <c r="Q52" s="5" t="str">
        <f t="shared" si="7"/>
        <v/>
      </c>
      <c r="R52" s="5" t="str">
        <f t="shared" si="8"/>
        <v/>
      </c>
      <c r="S52" s="5" t="str">
        <f t="shared" si="9"/>
        <v/>
      </c>
      <c r="T52" s="5" t="str">
        <f t="shared" si="10"/>
        <v/>
      </c>
    </row>
    <row r="53" spans="1:20" x14ac:dyDescent="0.2">
      <c r="A53" s="10"/>
      <c r="B53" s="10"/>
      <c r="C53" s="10">
        <v>0.44</v>
      </c>
      <c r="D53" s="10">
        <v>0.44</v>
      </c>
      <c r="E53" s="10"/>
      <c r="F53" s="10"/>
      <c r="G53" s="10">
        <v>0.4</v>
      </c>
      <c r="H53" s="10">
        <v>0.4</v>
      </c>
      <c r="I53" s="10"/>
      <c r="J53" s="10"/>
      <c r="K53" s="5" t="str">
        <f t="shared" si="1"/>
        <v/>
      </c>
      <c r="L53" s="5" t="str">
        <f t="shared" si="2"/>
        <v/>
      </c>
      <c r="M53" s="5" t="str">
        <f t="shared" si="3"/>
        <v>44%</v>
      </c>
      <c r="N53" s="5" t="str">
        <f t="shared" si="4"/>
        <v>44%</v>
      </c>
      <c r="O53" s="5" t="str">
        <f t="shared" si="5"/>
        <v/>
      </c>
      <c r="P53" s="5" t="str">
        <f t="shared" si="6"/>
        <v/>
      </c>
      <c r="Q53" s="5" t="str">
        <f t="shared" si="7"/>
        <v>40%</v>
      </c>
      <c r="R53" s="5" t="str">
        <f t="shared" si="8"/>
        <v>40%</v>
      </c>
      <c r="S53" s="5" t="str">
        <f t="shared" si="9"/>
        <v/>
      </c>
      <c r="T53" s="5" t="str">
        <f t="shared" si="10"/>
        <v/>
      </c>
    </row>
    <row r="54" spans="1:20" x14ac:dyDescent="0.2">
      <c r="A54" s="11">
        <v>1</v>
      </c>
      <c r="B54" s="11"/>
      <c r="C54" s="11"/>
      <c r="D54" s="11"/>
      <c r="E54" s="11"/>
      <c r="F54" s="11"/>
      <c r="G54" s="11"/>
      <c r="H54" s="11"/>
      <c r="I54" s="11"/>
      <c r="J54" s="11"/>
      <c r="K54" s="5" t="str">
        <f t="shared" si="1"/>
        <v>100%</v>
      </c>
      <c r="L54" s="5" t="str">
        <f t="shared" si="2"/>
        <v/>
      </c>
      <c r="M54" s="5" t="str">
        <f t="shared" si="3"/>
        <v/>
      </c>
      <c r="N54" s="5" t="str">
        <f t="shared" si="4"/>
        <v/>
      </c>
      <c r="O54" s="5" t="str">
        <f t="shared" si="5"/>
        <v/>
      </c>
      <c r="P54" s="5" t="str">
        <f t="shared" si="6"/>
        <v/>
      </c>
      <c r="Q54" s="5" t="str">
        <f t="shared" si="7"/>
        <v/>
      </c>
      <c r="R54" s="5" t="str">
        <f t="shared" si="8"/>
        <v/>
      </c>
      <c r="S54" s="5" t="str">
        <f t="shared" si="9"/>
        <v/>
      </c>
      <c r="T54" s="5" t="str">
        <f t="shared" si="10"/>
        <v/>
      </c>
    </row>
    <row r="55" spans="1:20" x14ac:dyDescent="0.2">
      <c r="A55" s="10"/>
      <c r="B55" s="10"/>
      <c r="C55" s="10">
        <v>0.3</v>
      </c>
      <c r="D55" s="10">
        <v>0.6</v>
      </c>
      <c r="E55" s="10"/>
      <c r="F55" s="10"/>
      <c r="G55" s="10">
        <v>0.3</v>
      </c>
      <c r="H55" s="10">
        <v>0.35</v>
      </c>
      <c r="I55" s="10"/>
      <c r="J55" s="10"/>
      <c r="K55" s="5" t="str">
        <f t="shared" si="1"/>
        <v/>
      </c>
      <c r="L55" s="5" t="str">
        <f t="shared" si="2"/>
        <v/>
      </c>
      <c r="M55" s="5" t="str">
        <f t="shared" si="3"/>
        <v>30%</v>
      </c>
      <c r="N55" s="5" t="str">
        <f t="shared" si="4"/>
        <v>60%</v>
      </c>
      <c r="O55" s="5" t="str">
        <f t="shared" si="5"/>
        <v/>
      </c>
      <c r="P55" s="5" t="str">
        <f t="shared" si="6"/>
        <v/>
      </c>
      <c r="Q55" s="5" t="str">
        <f t="shared" si="7"/>
        <v>30%</v>
      </c>
      <c r="R55" s="5" t="str">
        <f t="shared" si="8"/>
        <v>35%</v>
      </c>
      <c r="S55" s="5" t="str">
        <f t="shared" si="9"/>
        <v/>
      </c>
      <c r="T55" s="5" t="str">
        <f t="shared" si="10"/>
        <v/>
      </c>
    </row>
    <row r="56" spans="1:20" x14ac:dyDescent="0.2">
      <c r="A56" s="11"/>
      <c r="B56" s="11">
        <v>1.2</v>
      </c>
      <c r="C56" s="11"/>
      <c r="D56" s="11"/>
      <c r="E56" s="11"/>
      <c r="F56" s="11"/>
      <c r="G56" s="11"/>
      <c r="H56" s="11"/>
      <c r="I56" s="11"/>
      <c r="J56" s="11"/>
      <c r="K56" s="5" t="str">
        <f t="shared" si="1"/>
        <v/>
      </c>
      <c r="L56" s="5" t="str">
        <f t="shared" si="2"/>
        <v>120%</v>
      </c>
      <c r="M56" s="5" t="str">
        <f t="shared" si="3"/>
        <v/>
      </c>
      <c r="N56" s="5" t="str">
        <f t="shared" si="4"/>
        <v/>
      </c>
      <c r="O56" s="5" t="str">
        <f t="shared" si="5"/>
        <v/>
      </c>
      <c r="P56" s="5" t="str">
        <f t="shared" si="6"/>
        <v/>
      </c>
      <c r="Q56" s="5" t="str">
        <f t="shared" si="7"/>
        <v/>
      </c>
      <c r="R56" s="5" t="str">
        <f t="shared" si="8"/>
        <v/>
      </c>
      <c r="S56" s="5" t="str">
        <f t="shared" si="9"/>
        <v/>
      </c>
      <c r="T56" s="5" t="str">
        <f t="shared" si="10"/>
        <v/>
      </c>
    </row>
    <row r="57" spans="1:20" x14ac:dyDescent="0.2">
      <c r="A57" s="10"/>
      <c r="B57" s="10"/>
      <c r="C57" s="10"/>
      <c r="D57" s="10"/>
      <c r="E57" s="10"/>
      <c r="F57" s="10"/>
      <c r="G57" s="10"/>
      <c r="H57" s="10"/>
      <c r="I57" s="10">
        <v>0.35</v>
      </c>
      <c r="J57" s="10">
        <v>0.5</v>
      </c>
      <c r="K57" s="5" t="str">
        <f t="shared" si="1"/>
        <v/>
      </c>
      <c r="L57" s="5" t="str">
        <f t="shared" si="2"/>
        <v/>
      </c>
      <c r="M57" s="5" t="str">
        <f t="shared" si="3"/>
        <v/>
      </c>
      <c r="N57" s="5" t="str">
        <f t="shared" si="4"/>
        <v/>
      </c>
      <c r="O57" s="5" t="str">
        <f t="shared" si="5"/>
        <v/>
      </c>
      <c r="P57" s="5" t="str">
        <f t="shared" si="6"/>
        <v/>
      </c>
      <c r="Q57" s="5" t="str">
        <f t="shared" si="7"/>
        <v/>
      </c>
      <c r="R57" s="5" t="str">
        <f t="shared" si="8"/>
        <v/>
      </c>
      <c r="S57" s="5" t="str">
        <f t="shared" si="9"/>
        <v>35%</v>
      </c>
      <c r="T57" s="5" t="str">
        <f t="shared" si="10"/>
        <v>50%</v>
      </c>
    </row>
    <row r="58" spans="1:20" x14ac:dyDescent="0.2">
      <c r="A58" s="11">
        <v>0.95</v>
      </c>
      <c r="B58" s="11"/>
      <c r="C58" s="11"/>
      <c r="D58" s="11"/>
      <c r="E58" s="11"/>
      <c r="F58" s="11"/>
      <c r="G58" s="11"/>
      <c r="H58" s="11"/>
      <c r="I58" s="11"/>
      <c r="J58" s="11"/>
      <c r="K58" s="5" t="str">
        <f t="shared" si="1"/>
        <v>95%</v>
      </c>
      <c r="L58" s="5" t="str">
        <f t="shared" si="2"/>
        <v/>
      </c>
      <c r="M58" s="5" t="str">
        <f t="shared" si="3"/>
        <v/>
      </c>
      <c r="N58" s="5" t="str">
        <f t="shared" si="4"/>
        <v/>
      </c>
      <c r="O58" s="5" t="str">
        <f t="shared" si="5"/>
        <v/>
      </c>
      <c r="P58" s="5" t="str">
        <f t="shared" si="6"/>
        <v/>
      </c>
      <c r="Q58" s="5" t="str">
        <f t="shared" si="7"/>
        <v/>
      </c>
      <c r="R58" s="5" t="str">
        <f t="shared" si="8"/>
        <v/>
      </c>
      <c r="S58" s="5" t="str">
        <f t="shared" si="9"/>
        <v/>
      </c>
      <c r="T58" s="5" t="str">
        <f t="shared" si="10"/>
        <v/>
      </c>
    </row>
    <row r="59" spans="1:20" x14ac:dyDescent="0.2">
      <c r="A59" s="10"/>
      <c r="B59" s="10"/>
      <c r="C59" s="10">
        <v>0.5</v>
      </c>
      <c r="D59" s="10">
        <v>0.5</v>
      </c>
      <c r="E59" s="10"/>
      <c r="F59" s="10"/>
      <c r="G59" s="10">
        <v>0.25</v>
      </c>
      <c r="H59" s="10">
        <v>0.25</v>
      </c>
      <c r="I59" s="10"/>
      <c r="J59" s="10"/>
      <c r="K59" s="5" t="str">
        <f t="shared" si="1"/>
        <v/>
      </c>
      <c r="L59" s="5" t="str">
        <f t="shared" si="2"/>
        <v/>
      </c>
      <c r="M59" s="5" t="str">
        <f t="shared" si="3"/>
        <v>50%</v>
      </c>
      <c r="N59" s="5" t="str">
        <f t="shared" si="4"/>
        <v>50%</v>
      </c>
      <c r="O59" s="5" t="str">
        <f t="shared" si="5"/>
        <v/>
      </c>
      <c r="P59" s="5" t="str">
        <f t="shared" si="6"/>
        <v/>
      </c>
      <c r="Q59" s="5" t="str">
        <f t="shared" si="7"/>
        <v>25%</v>
      </c>
      <c r="R59" s="5" t="str">
        <f t="shared" si="8"/>
        <v>25%</v>
      </c>
      <c r="S59" s="5" t="str">
        <f t="shared" si="9"/>
        <v/>
      </c>
      <c r="T59" s="5" t="str">
        <f t="shared" si="10"/>
        <v/>
      </c>
    </row>
    <row r="60" spans="1:20" x14ac:dyDescent="0.2">
      <c r="A60" s="11">
        <v>1.05</v>
      </c>
      <c r="B60" s="11"/>
      <c r="C60" s="11"/>
      <c r="D60" s="11"/>
      <c r="E60" s="11"/>
      <c r="F60" s="11"/>
      <c r="G60" s="11"/>
      <c r="H60" s="11"/>
      <c r="I60" s="11"/>
      <c r="J60" s="11"/>
      <c r="K60" s="5" t="str">
        <f t="shared" si="1"/>
        <v>105%</v>
      </c>
      <c r="L60" s="5" t="str">
        <f t="shared" si="2"/>
        <v/>
      </c>
      <c r="M60" s="5" t="str">
        <f t="shared" si="3"/>
        <v/>
      </c>
      <c r="N60" s="5" t="str">
        <f t="shared" si="4"/>
        <v/>
      </c>
      <c r="O60" s="5" t="str">
        <f t="shared" si="5"/>
        <v/>
      </c>
      <c r="P60" s="5" t="str">
        <f t="shared" si="6"/>
        <v/>
      </c>
      <c r="Q60" s="5" t="str">
        <f t="shared" si="7"/>
        <v/>
      </c>
      <c r="R60" s="5" t="str">
        <f t="shared" si="8"/>
        <v/>
      </c>
      <c r="S60" s="5" t="str">
        <f t="shared" si="9"/>
        <v/>
      </c>
      <c r="T60" s="5" t="str">
        <f t="shared" si="10"/>
        <v/>
      </c>
    </row>
    <row r="61" spans="1:20" x14ac:dyDescent="0.2">
      <c r="A61" s="10">
        <v>1.1000000000000001</v>
      </c>
      <c r="B61" s="10"/>
      <c r="C61" s="10"/>
      <c r="D61" s="10"/>
      <c r="E61" s="10"/>
      <c r="F61" s="10"/>
      <c r="G61" s="10"/>
      <c r="H61" s="10"/>
      <c r="I61" s="10"/>
      <c r="J61" s="10"/>
      <c r="K61" s="5" t="str">
        <f t="shared" si="1"/>
        <v>110%</v>
      </c>
      <c r="L61" s="5" t="str">
        <f t="shared" si="2"/>
        <v/>
      </c>
      <c r="M61" s="5" t="str">
        <f t="shared" si="3"/>
        <v/>
      </c>
      <c r="N61" s="5" t="str">
        <f t="shared" si="4"/>
        <v/>
      </c>
      <c r="O61" s="5" t="str">
        <f t="shared" si="5"/>
        <v/>
      </c>
      <c r="P61" s="5" t="str">
        <f t="shared" si="6"/>
        <v/>
      </c>
      <c r="Q61" s="5" t="str">
        <f t="shared" si="7"/>
        <v/>
      </c>
      <c r="R61" s="5" t="str">
        <f t="shared" si="8"/>
        <v/>
      </c>
      <c r="S61" s="5" t="str">
        <f t="shared" si="9"/>
        <v/>
      </c>
      <c r="T61" s="5" t="str">
        <f t="shared" si="10"/>
        <v/>
      </c>
    </row>
    <row r="62" spans="1:20" x14ac:dyDescent="0.2">
      <c r="A62" s="11"/>
      <c r="B62" s="11">
        <v>1.05</v>
      </c>
      <c r="C62" s="11"/>
      <c r="D62" s="11"/>
      <c r="E62" s="11"/>
      <c r="F62" s="11"/>
      <c r="G62" s="11"/>
      <c r="H62" s="11"/>
      <c r="I62" s="11"/>
      <c r="J62" s="11"/>
      <c r="K62" s="5" t="str">
        <f t="shared" si="1"/>
        <v/>
      </c>
      <c r="L62" s="5" t="str">
        <f t="shared" si="2"/>
        <v>105%</v>
      </c>
      <c r="M62" s="5" t="str">
        <f t="shared" si="3"/>
        <v/>
      </c>
      <c r="N62" s="5" t="str">
        <f t="shared" si="4"/>
        <v/>
      </c>
      <c r="O62" s="5" t="str">
        <f t="shared" si="5"/>
        <v/>
      </c>
      <c r="P62" s="5" t="str">
        <f t="shared" si="6"/>
        <v/>
      </c>
      <c r="Q62" s="5" t="str">
        <f t="shared" si="7"/>
        <v/>
      </c>
      <c r="R62" s="5" t="str">
        <f t="shared" si="8"/>
        <v/>
      </c>
      <c r="S62" s="5" t="str">
        <f t="shared" si="9"/>
        <v/>
      </c>
      <c r="T62" s="5" t="str">
        <f t="shared" si="10"/>
        <v/>
      </c>
    </row>
    <row r="63" spans="1:20" x14ac:dyDescent="0.2">
      <c r="A63" s="10">
        <v>1.1000000000000001</v>
      </c>
      <c r="B63" s="10"/>
      <c r="C63" s="10"/>
      <c r="D63" s="10"/>
      <c r="E63" s="10"/>
      <c r="F63" s="10"/>
      <c r="G63" s="10"/>
      <c r="H63" s="10"/>
      <c r="I63" s="10"/>
      <c r="J63" s="10"/>
      <c r="K63" s="5" t="str">
        <f t="shared" si="1"/>
        <v>110%</v>
      </c>
      <c r="L63" s="5" t="str">
        <f t="shared" si="2"/>
        <v/>
      </c>
      <c r="M63" s="5" t="str">
        <f t="shared" si="3"/>
        <v/>
      </c>
      <c r="N63" s="5" t="str">
        <f t="shared" si="4"/>
        <v/>
      </c>
      <c r="O63" s="5" t="str">
        <f t="shared" si="5"/>
        <v/>
      </c>
      <c r="P63" s="5" t="str">
        <f t="shared" si="6"/>
        <v/>
      </c>
      <c r="Q63" s="5" t="str">
        <f t="shared" si="7"/>
        <v/>
      </c>
      <c r="R63" s="5" t="str">
        <f t="shared" si="8"/>
        <v/>
      </c>
      <c r="S63" s="5" t="str">
        <f t="shared" si="9"/>
        <v/>
      </c>
      <c r="T63" s="5" t="str">
        <f t="shared" si="10"/>
        <v/>
      </c>
    </row>
    <row r="64" spans="1:20" x14ac:dyDescent="0.2">
      <c r="A64" s="11">
        <v>1.1499999999999999</v>
      </c>
      <c r="B64" s="11"/>
      <c r="C64" s="11"/>
      <c r="D64" s="11"/>
      <c r="E64" s="11"/>
      <c r="F64" s="11"/>
      <c r="G64" s="11"/>
      <c r="H64" s="11"/>
      <c r="I64" s="11"/>
      <c r="J64" s="11"/>
      <c r="K64" s="5" t="str">
        <f t="shared" si="1"/>
        <v>115%</v>
      </c>
      <c r="L64" s="5" t="str">
        <f t="shared" si="2"/>
        <v/>
      </c>
      <c r="M64" s="5" t="str">
        <f t="shared" si="3"/>
        <v/>
      </c>
      <c r="N64" s="5" t="str">
        <f t="shared" si="4"/>
        <v/>
      </c>
      <c r="O64" s="5" t="str">
        <f t="shared" si="5"/>
        <v/>
      </c>
      <c r="P64" s="5" t="str">
        <f t="shared" si="6"/>
        <v/>
      </c>
      <c r="Q64" s="5" t="str">
        <f t="shared" si="7"/>
        <v/>
      </c>
      <c r="R64" s="5" t="str">
        <f t="shared" si="8"/>
        <v/>
      </c>
      <c r="S64" s="5" t="str">
        <f t="shared" si="9"/>
        <v/>
      </c>
      <c r="T64" s="5" t="str">
        <f t="shared" si="10"/>
        <v/>
      </c>
    </row>
    <row r="65" spans="1:20" x14ac:dyDescent="0.2">
      <c r="A65" s="10"/>
      <c r="B65" s="10"/>
      <c r="C65" s="10"/>
      <c r="D65" s="10"/>
      <c r="E65" s="10"/>
      <c r="F65" s="10"/>
      <c r="G65" s="10"/>
      <c r="H65" s="10"/>
      <c r="I65" s="10">
        <v>0.3</v>
      </c>
      <c r="J65" s="10">
        <v>0.6</v>
      </c>
      <c r="K65" s="5" t="str">
        <f t="shared" si="1"/>
        <v/>
      </c>
      <c r="L65" s="5" t="str">
        <f t="shared" si="2"/>
        <v/>
      </c>
      <c r="M65" s="5" t="str">
        <f t="shared" si="3"/>
        <v/>
      </c>
      <c r="N65" s="5" t="str">
        <f t="shared" si="4"/>
        <v/>
      </c>
      <c r="O65" s="5" t="str">
        <f t="shared" si="5"/>
        <v/>
      </c>
      <c r="P65" s="5" t="str">
        <f t="shared" si="6"/>
        <v/>
      </c>
      <c r="Q65" s="5" t="str">
        <f t="shared" si="7"/>
        <v/>
      </c>
      <c r="R65" s="5" t="str">
        <f t="shared" si="8"/>
        <v/>
      </c>
      <c r="S65" s="5" t="str">
        <f t="shared" si="9"/>
        <v>30%</v>
      </c>
      <c r="T65" s="5" t="str">
        <f t="shared" si="10"/>
        <v>60%</v>
      </c>
    </row>
    <row r="66" spans="1:20" x14ac:dyDescent="0.2">
      <c r="A66" s="11">
        <v>1.1000000000000001</v>
      </c>
      <c r="B66" s="11"/>
      <c r="C66" s="11"/>
      <c r="D66" s="11"/>
      <c r="E66" s="11"/>
      <c r="F66" s="11"/>
      <c r="G66" s="11"/>
      <c r="H66" s="11"/>
      <c r="I66" s="11"/>
      <c r="J66" s="11"/>
      <c r="K66" s="5" t="str">
        <f t="shared" ref="K66:K129" si="11">IF(A66&lt;&gt;"",TEXT(A66,"0%"),"")</f>
        <v>110%</v>
      </c>
      <c r="L66" s="5" t="str">
        <f t="shared" ref="L66:L129" si="12">IF(B66&lt;&gt;"",TEXT(B66,"0%"),"")</f>
        <v/>
      </c>
      <c r="M66" s="5" t="str">
        <f t="shared" ref="M66:M129" si="13">IF(C66&lt;&gt;"",TEXT(C66,"0%"),"")</f>
        <v/>
      </c>
      <c r="N66" s="5" t="str">
        <f t="shared" ref="N66:N129" si="14">IF(D66&lt;&gt;"",TEXT(D66,"0%"),"")</f>
        <v/>
      </c>
      <c r="O66" s="5" t="str">
        <f t="shared" ref="O66:O129" si="15">IF(E66&lt;&gt;"",TEXT(E66,"0%"),"")</f>
        <v/>
      </c>
      <c r="P66" s="5" t="str">
        <f t="shared" ref="P66:P129" si="16">IF(F66&lt;&gt;"",TEXT(F66,"0%"),"")</f>
        <v/>
      </c>
      <c r="Q66" s="5" t="str">
        <f t="shared" ref="Q66:Q129" si="17">IF(G66&lt;&gt;"",TEXT(G66,"0%"),"")</f>
        <v/>
      </c>
      <c r="R66" s="5" t="str">
        <f t="shared" ref="R66:R129" si="18">IF(H66&lt;&gt;"",TEXT(H66,"0%"),"")</f>
        <v/>
      </c>
      <c r="S66" s="5" t="str">
        <f t="shared" ref="S66:S129" si="19">IF(I66&lt;&gt;"",TEXT(I66,"0%"),"")</f>
        <v/>
      </c>
      <c r="T66" s="5" t="str">
        <f t="shared" ref="T66:T129" si="20">IF(J66&lt;&gt;"",TEXT(J66,"0%"),"")</f>
        <v/>
      </c>
    </row>
    <row r="67" spans="1:20" x14ac:dyDescent="0.2">
      <c r="A67" s="10"/>
      <c r="B67" s="10">
        <v>1.1000000000000001</v>
      </c>
      <c r="C67" s="10"/>
      <c r="D67" s="10"/>
      <c r="E67" s="10"/>
      <c r="F67" s="10"/>
      <c r="G67" s="10"/>
      <c r="H67" s="10"/>
      <c r="I67" s="10"/>
      <c r="J67" s="10"/>
      <c r="K67" s="5" t="str">
        <f t="shared" si="11"/>
        <v/>
      </c>
      <c r="L67" s="5" t="str">
        <f t="shared" si="12"/>
        <v>110%</v>
      </c>
      <c r="M67" s="5" t="str">
        <f t="shared" si="13"/>
        <v/>
      </c>
      <c r="N67" s="5" t="str">
        <f t="shared" si="14"/>
        <v/>
      </c>
      <c r="O67" s="5" t="str">
        <f t="shared" si="15"/>
        <v/>
      </c>
      <c r="P67" s="5" t="str">
        <f t="shared" si="16"/>
        <v/>
      </c>
      <c r="Q67" s="5" t="str">
        <f t="shared" si="17"/>
        <v/>
      </c>
      <c r="R67" s="5" t="str">
        <f t="shared" si="18"/>
        <v/>
      </c>
      <c r="S67" s="5" t="str">
        <f t="shared" si="19"/>
        <v/>
      </c>
      <c r="T67" s="5" t="str">
        <f t="shared" si="20"/>
        <v/>
      </c>
    </row>
    <row r="68" spans="1:20" x14ac:dyDescent="0.2">
      <c r="A68" s="11"/>
      <c r="B68" s="11"/>
      <c r="C68" s="11"/>
      <c r="D68" s="11"/>
      <c r="E68" s="11"/>
      <c r="F68" s="11"/>
      <c r="G68" s="11"/>
      <c r="H68" s="11"/>
      <c r="I68" s="11">
        <v>0.45</v>
      </c>
      <c r="J68" s="11">
        <v>0.4</v>
      </c>
      <c r="K68" s="5" t="str">
        <f t="shared" si="11"/>
        <v/>
      </c>
      <c r="L68" s="5" t="str">
        <f t="shared" si="12"/>
        <v/>
      </c>
      <c r="M68" s="5" t="str">
        <f t="shared" si="13"/>
        <v/>
      </c>
      <c r="N68" s="5" t="str">
        <f t="shared" si="14"/>
        <v/>
      </c>
      <c r="O68" s="5" t="str">
        <f t="shared" si="15"/>
        <v/>
      </c>
      <c r="P68" s="5" t="str">
        <f t="shared" si="16"/>
        <v/>
      </c>
      <c r="Q68" s="5" t="str">
        <f t="shared" si="17"/>
        <v/>
      </c>
      <c r="R68" s="5" t="str">
        <f t="shared" si="18"/>
        <v/>
      </c>
      <c r="S68" s="5" t="str">
        <f t="shared" si="19"/>
        <v>45%</v>
      </c>
      <c r="T68" s="5" t="str">
        <f t="shared" si="20"/>
        <v>40%</v>
      </c>
    </row>
    <row r="69" spans="1:20" x14ac:dyDescent="0.2">
      <c r="A69" s="20"/>
      <c r="B69" s="21">
        <v>0.9</v>
      </c>
      <c r="C69" s="20"/>
      <c r="D69" s="20"/>
      <c r="E69" s="20"/>
      <c r="F69" s="20"/>
      <c r="G69" s="20"/>
      <c r="H69" s="20"/>
      <c r="I69" s="20"/>
      <c r="J69" s="20"/>
      <c r="K69" s="5" t="str">
        <f t="shared" si="11"/>
        <v/>
      </c>
      <c r="L69" s="5" t="str">
        <f t="shared" si="12"/>
        <v>90%</v>
      </c>
      <c r="M69" s="5" t="str">
        <f t="shared" si="13"/>
        <v/>
      </c>
      <c r="N69" s="5" t="str">
        <f t="shared" si="14"/>
        <v/>
      </c>
      <c r="O69" s="5" t="str">
        <f t="shared" si="15"/>
        <v/>
      </c>
      <c r="P69" s="5" t="str">
        <f t="shared" si="16"/>
        <v/>
      </c>
      <c r="Q69" s="5" t="str">
        <f t="shared" si="17"/>
        <v/>
      </c>
      <c r="R69" s="5" t="str">
        <f t="shared" si="18"/>
        <v/>
      </c>
      <c r="S69" s="5" t="str">
        <f t="shared" si="19"/>
        <v/>
      </c>
      <c r="T69" s="5" t="str">
        <f t="shared" si="20"/>
        <v/>
      </c>
    </row>
    <row r="70" spans="1:20" x14ac:dyDescent="0.2">
      <c r="A70" s="11"/>
      <c r="B70" s="11">
        <v>1.1499999999999999</v>
      </c>
      <c r="C70" s="11"/>
      <c r="D70" s="11"/>
      <c r="E70" s="11"/>
      <c r="F70" s="11"/>
      <c r="G70" s="11"/>
      <c r="H70" s="11"/>
      <c r="I70" s="11"/>
      <c r="J70" s="11"/>
      <c r="K70" s="5" t="str">
        <f t="shared" si="11"/>
        <v/>
      </c>
      <c r="L70" s="5" t="str">
        <f t="shared" si="12"/>
        <v>115%</v>
      </c>
      <c r="M70" s="5" t="str">
        <f t="shared" si="13"/>
        <v/>
      </c>
      <c r="N70" s="5" t="str">
        <f t="shared" si="14"/>
        <v/>
      </c>
      <c r="O70" s="5" t="str">
        <f t="shared" si="15"/>
        <v/>
      </c>
      <c r="P70" s="5" t="str">
        <f t="shared" si="16"/>
        <v/>
      </c>
      <c r="Q70" s="5" t="str">
        <f t="shared" si="17"/>
        <v/>
      </c>
      <c r="R70" s="5" t="str">
        <f t="shared" si="18"/>
        <v/>
      </c>
      <c r="S70" s="5" t="str">
        <f t="shared" si="19"/>
        <v/>
      </c>
      <c r="T70" s="5" t="str">
        <f t="shared" si="20"/>
        <v/>
      </c>
    </row>
    <row r="71" spans="1:20" x14ac:dyDescent="0.2">
      <c r="A71" s="10"/>
      <c r="B71" s="10">
        <v>1.1000000000000001</v>
      </c>
      <c r="C71" s="10"/>
      <c r="D71" s="10"/>
      <c r="E71" s="10"/>
      <c r="F71" s="10"/>
      <c r="G71" s="10"/>
      <c r="H71" s="10"/>
      <c r="I71" s="10"/>
      <c r="J71" s="10"/>
      <c r="K71" s="5" t="str">
        <f t="shared" si="11"/>
        <v/>
      </c>
      <c r="L71" s="5" t="str">
        <f t="shared" si="12"/>
        <v>110%</v>
      </c>
      <c r="M71" s="5" t="str">
        <f t="shared" si="13"/>
        <v/>
      </c>
      <c r="N71" s="5" t="str">
        <f t="shared" si="14"/>
        <v/>
      </c>
      <c r="O71" s="5" t="str">
        <f t="shared" si="15"/>
        <v/>
      </c>
      <c r="P71" s="5" t="str">
        <f t="shared" si="16"/>
        <v/>
      </c>
      <c r="Q71" s="5" t="str">
        <f t="shared" si="17"/>
        <v/>
      </c>
      <c r="R71" s="5" t="str">
        <f t="shared" si="18"/>
        <v/>
      </c>
      <c r="S71" s="5" t="str">
        <f t="shared" si="19"/>
        <v/>
      </c>
      <c r="T71" s="5" t="str">
        <f t="shared" si="20"/>
        <v/>
      </c>
    </row>
    <row r="72" spans="1:20" x14ac:dyDescent="0.2">
      <c r="A72" s="11"/>
      <c r="B72" s="11">
        <v>0.9</v>
      </c>
      <c r="C72" s="11"/>
      <c r="D72" s="11"/>
      <c r="E72" s="11"/>
      <c r="F72" s="11"/>
      <c r="G72" s="11"/>
      <c r="H72" s="11"/>
      <c r="I72" s="11"/>
      <c r="J72" s="11"/>
      <c r="K72" s="5" t="str">
        <f t="shared" si="11"/>
        <v/>
      </c>
      <c r="L72" s="5" t="str">
        <f t="shared" si="12"/>
        <v>90%</v>
      </c>
      <c r="M72" s="5" t="str">
        <f t="shared" si="13"/>
        <v/>
      </c>
      <c r="N72" s="5" t="str">
        <f t="shared" si="14"/>
        <v/>
      </c>
      <c r="O72" s="5" t="str">
        <f t="shared" si="15"/>
        <v/>
      </c>
      <c r="P72" s="5" t="str">
        <f t="shared" si="16"/>
        <v/>
      </c>
      <c r="Q72" s="5" t="str">
        <f t="shared" si="17"/>
        <v/>
      </c>
      <c r="R72" s="5" t="str">
        <f t="shared" si="18"/>
        <v/>
      </c>
      <c r="S72" s="5" t="str">
        <f t="shared" si="19"/>
        <v/>
      </c>
      <c r="T72" s="5" t="str">
        <f t="shared" si="20"/>
        <v/>
      </c>
    </row>
    <row r="73" spans="1:20" x14ac:dyDescent="0.2">
      <c r="A73" s="10">
        <v>1.1499999999999999</v>
      </c>
      <c r="B73" s="10"/>
      <c r="C73" s="10"/>
      <c r="D73" s="10"/>
      <c r="E73" s="10">
        <v>-0.1</v>
      </c>
      <c r="F73" s="10"/>
      <c r="G73" s="10"/>
      <c r="H73" s="10"/>
      <c r="I73" s="10"/>
      <c r="J73" s="10"/>
      <c r="K73" s="5" t="str">
        <f t="shared" si="11"/>
        <v>115%</v>
      </c>
      <c r="L73" s="5" t="str">
        <f t="shared" si="12"/>
        <v/>
      </c>
      <c r="M73" s="5" t="str">
        <f t="shared" si="13"/>
        <v/>
      </c>
      <c r="N73" s="5" t="str">
        <f t="shared" si="14"/>
        <v/>
      </c>
      <c r="O73" s="5" t="str">
        <f t="shared" si="15"/>
        <v>-10%</v>
      </c>
      <c r="P73" s="5" t="str">
        <f t="shared" si="16"/>
        <v/>
      </c>
      <c r="Q73" s="5" t="str">
        <f t="shared" si="17"/>
        <v/>
      </c>
      <c r="R73" s="5" t="str">
        <f t="shared" si="18"/>
        <v/>
      </c>
      <c r="S73" s="5" t="str">
        <f t="shared" si="19"/>
        <v/>
      </c>
      <c r="T73" s="5" t="str">
        <f t="shared" si="20"/>
        <v/>
      </c>
    </row>
    <row r="74" spans="1:20" x14ac:dyDescent="0.2">
      <c r="A74" s="11"/>
      <c r="B74" s="11">
        <v>1.1000000000000001</v>
      </c>
      <c r="C74" s="11"/>
      <c r="D74" s="11"/>
      <c r="E74" s="11"/>
      <c r="F74" s="11"/>
      <c r="G74" s="11"/>
      <c r="H74" s="11"/>
      <c r="I74" s="11"/>
      <c r="J74" s="11"/>
      <c r="K74" s="5" t="str">
        <f t="shared" si="11"/>
        <v/>
      </c>
      <c r="L74" s="5" t="str">
        <f t="shared" si="12"/>
        <v>110%</v>
      </c>
      <c r="M74" s="5" t="str">
        <f t="shared" si="13"/>
        <v/>
      </c>
      <c r="N74" s="5" t="str">
        <f t="shared" si="14"/>
        <v/>
      </c>
      <c r="O74" s="5" t="str">
        <f t="shared" si="15"/>
        <v/>
      </c>
      <c r="P74" s="5" t="str">
        <f t="shared" si="16"/>
        <v/>
      </c>
      <c r="Q74" s="5" t="str">
        <f t="shared" si="17"/>
        <v/>
      </c>
      <c r="R74" s="5" t="str">
        <f t="shared" si="18"/>
        <v/>
      </c>
      <c r="S74" s="5" t="str">
        <f t="shared" si="19"/>
        <v/>
      </c>
      <c r="T74" s="5" t="str">
        <f t="shared" si="20"/>
        <v/>
      </c>
    </row>
    <row r="75" spans="1:20" x14ac:dyDescent="0.2">
      <c r="A75" s="10">
        <v>1.1000000000000001</v>
      </c>
      <c r="B75" s="10"/>
      <c r="C75" s="10"/>
      <c r="D75" s="10"/>
      <c r="E75" s="10"/>
      <c r="F75" s="10"/>
      <c r="G75" s="10"/>
      <c r="H75" s="10"/>
      <c r="I75" s="10"/>
      <c r="J75" s="10"/>
      <c r="K75" s="5" t="str">
        <f t="shared" si="11"/>
        <v>110%</v>
      </c>
      <c r="L75" s="5" t="str">
        <f t="shared" si="12"/>
        <v/>
      </c>
      <c r="M75" s="5" t="str">
        <f t="shared" si="13"/>
        <v/>
      </c>
      <c r="N75" s="5" t="str">
        <f t="shared" si="14"/>
        <v/>
      </c>
      <c r="O75" s="5" t="str">
        <f t="shared" si="15"/>
        <v/>
      </c>
      <c r="P75" s="5" t="str">
        <f t="shared" si="16"/>
        <v/>
      </c>
      <c r="Q75" s="5" t="str">
        <f t="shared" si="17"/>
        <v/>
      </c>
      <c r="R75" s="5" t="str">
        <f t="shared" si="18"/>
        <v/>
      </c>
      <c r="S75" s="5" t="str">
        <f t="shared" si="19"/>
        <v/>
      </c>
      <c r="T75" s="5" t="str">
        <f t="shared" si="20"/>
        <v/>
      </c>
    </row>
    <row r="76" spans="1:20" x14ac:dyDescent="0.2">
      <c r="A76" s="22"/>
      <c r="B76" s="22"/>
      <c r="C76" s="23">
        <v>0.7</v>
      </c>
      <c r="D76" s="23">
        <v>0.45</v>
      </c>
      <c r="E76" s="22"/>
      <c r="F76" s="22"/>
      <c r="G76" s="23">
        <v>0.35</v>
      </c>
      <c r="H76" s="23">
        <v>0.2</v>
      </c>
      <c r="I76" s="22"/>
      <c r="J76" s="23"/>
      <c r="K76" s="5" t="str">
        <f t="shared" si="11"/>
        <v/>
      </c>
      <c r="L76" s="5" t="str">
        <f t="shared" si="12"/>
        <v/>
      </c>
      <c r="M76" s="5" t="str">
        <f t="shared" si="13"/>
        <v>70%</v>
      </c>
      <c r="N76" s="5" t="str">
        <f t="shared" si="14"/>
        <v>45%</v>
      </c>
      <c r="O76" s="5" t="str">
        <f t="shared" si="15"/>
        <v/>
      </c>
      <c r="P76" s="5" t="str">
        <f t="shared" si="16"/>
        <v/>
      </c>
      <c r="Q76" s="5" t="str">
        <f t="shared" si="17"/>
        <v>35%</v>
      </c>
      <c r="R76" s="5" t="str">
        <f t="shared" si="18"/>
        <v>20%</v>
      </c>
      <c r="S76" s="5" t="str">
        <f t="shared" si="19"/>
        <v/>
      </c>
      <c r="T76" s="5" t="str">
        <f t="shared" si="20"/>
        <v/>
      </c>
    </row>
    <row r="77" spans="1:20" x14ac:dyDescent="0.2">
      <c r="A77" s="10"/>
      <c r="B77" s="10">
        <v>1</v>
      </c>
      <c r="C77" s="10"/>
      <c r="D77" s="10"/>
      <c r="E77" s="10"/>
      <c r="F77" s="10"/>
      <c r="G77" s="10"/>
      <c r="H77" s="10"/>
      <c r="I77" s="10"/>
      <c r="J77" s="10"/>
      <c r="K77" s="5" t="str">
        <f t="shared" si="11"/>
        <v/>
      </c>
      <c r="L77" s="5" t="str">
        <f t="shared" si="12"/>
        <v>100%</v>
      </c>
      <c r="M77" s="5" t="str">
        <f t="shared" si="13"/>
        <v/>
      </c>
      <c r="N77" s="5" t="str">
        <f t="shared" si="14"/>
        <v/>
      </c>
      <c r="O77" s="5" t="str">
        <f t="shared" si="15"/>
        <v/>
      </c>
      <c r="P77" s="5" t="str">
        <f t="shared" si="16"/>
        <v/>
      </c>
      <c r="Q77" s="5" t="str">
        <f t="shared" si="17"/>
        <v/>
      </c>
      <c r="R77" s="5" t="str">
        <f t="shared" si="18"/>
        <v/>
      </c>
      <c r="S77" s="5" t="str">
        <f t="shared" si="19"/>
        <v/>
      </c>
      <c r="T77" s="5" t="str">
        <f t="shared" si="20"/>
        <v/>
      </c>
    </row>
    <row r="78" spans="1:20" x14ac:dyDescent="0.2">
      <c r="A78" s="11">
        <v>1.3</v>
      </c>
      <c r="B78" s="11"/>
      <c r="C78" s="11"/>
      <c r="D78" s="11"/>
      <c r="E78" s="11">
        <v>0.1</v>
      </c>
      <c r="F78" s="11"/>
      <c r="G78" s="11"/>
      <c r="H78" s="11"/>
      <c r="I78" s="11"/>
      <c r="J78" s="11"/>
      <c r="K78" s="5" t="str">
        <f t="shared" si="11"/>
        <v>130%</v>
      </c>
      <c r="L78" s="5" t="str">
        <f t="shared" si="12"/>
        <v/>
      </c>
      <c r="M78" s="5" t="str">
        <f t="shared" si="13"/>
        <v/>
      </c>
      <c r="N78" s="5" t="str">
        <f t="shared" si="14"/>
        <v/>
      </c>
      <c r="O78" s="5" t="str">
        <f t="shared" si="15"/>
        <v>10%</v>
      </c>
      <c r="P78" s="5" t="str">
        <f t="shared" si="16"/>
        <v/>
      </c>
      <c r="Q78" s="5" t="str">
        <f t="shared" si="17"/>
        <v/>
      </c>
      <c r="R78" s="5" t="str">
        <f t="shared" si="18"/>
        <v/>
      </c>
      <c r="S78" s="5" t="str">
        <f t="shared" si="19"/>
        <v/>
      </c>
      <c r="T78" s="5" t="str">
        <f t="shared" si="20"/>
        <v/>
      </c>
    </row>
    <row r="79" spans="1:20" x14ac:dyDescent="0.2">
      <c r="A79" s="20"/>
      <c r="B79" s="20"/>
      <c r="C79" s="21">
        <v>0.5</v>
      </c>
      <c r="D79" s="21">
        <v>0.5</v>
      </c>
      <c r="E79" s="20"/>
      <c r="F79" s="20"/>
      <c r="G79" s="21">
        <v>0.55000000000000004</v>
      </c>
      <c r="H79" s="21">
        <v>0.45</v>
      </c>
      <c r="I79" s="20"/>
      <c r="J79" s="20"/>
      <c r="K79" s="5" t="str">
        <f t="shared" si="11"/>
        <v/>
      </c>
      <c r="L79" s="5" t="str">
        <f t="shared" si="12"/>
        <v/>
      </c>
      <c r="M79" s="5" t="str">
        <f t="shared" si="13"/>
        <v>50%</v>
      </c>
      <c r="N79" s="5" t="str">
        <f t="shared" si="14"/>
        <v>50%</v>
      </c>
      <c r="O79" s="5" t="str">
        <f t="shared" si="15"/>
        <v/>
      </c>
      <c r="P79" s="5" t="str">
        <f t="shared" si="16"/>
        <v/>
      </c>
      <c r="Q79" s="5" t="str">
        <f t="shared" si="17"/>
        <v>55%</v>
      </c>
      <c r="R79" s="5" t="str">
        <f t="shared" si="18"/>
        <v>45%</v>
      </c>
      <c r="S79" s="5" t="str">
        <f t="shared" si="19"/>
        <v/>
      </c>
      <c r="T79" s="5" t="str">
        <f t="shared" si="20"/>
        <v/>
      </c>
    </row>
    <row r="80" spans="1:20" x14ac:dyDescent="0.2">
      <c r="A80" s="11"/>
      <c r="B80" s="11">
        <v>1</v>
      </c>
      <c r="C80" s="11"/>
      <c r="D80" s="11"/>
      <c r="E80" s="11"/>
      <c r="F80" s="11"/>
      <c r="G80" s="11"/>
      <c r="H80" s="11"/>
      <c r="I80" s="11"/>
      <c r="J80" s="11"/>
      <c r="K80" s="5" t="str">
        <f t="shared" si="11"/>
        <v/>
      </c>
      <c r="L80" s="5" t="str">
        <f t="shared" si="12"/>
        <v>100%</v>
      </c>
      <c r="M80" s="5" t="str">
        <f t="shared" si="13"/>
        <v/>
      </c>
      <c r="N80" s="5" t="str">
        <f t="shared" si="14"/>
        <v/>
      </c>
      <c r="O80" s="5" t="str">
        <f t="shared" si="15"/>
        <v/>
      </c>
      <c r="P80" s="5" t="str">
        <f t="shared" si="16"/>
        <v/>
      </c>
      <c r="Q80" s="5" t="str">
        <f t="shared" si="17"/>
        <v/>
      </c>
      <c r="R80" s="5" t="str">
        <f t="shared" si="18"/>
        <v/>
      </c>
      <c r="S80" s="5" t="str">
        <f t="shared" si="19"/>
        <v/>
      </c>
      <c r="T80" s="5" t="str">
        <f t="shared" si="20"/>
        <v/>
      </c>
    </row>
    <row r="81" spans="1:20" x14ac:dyDescent="0.2">
      <c r="A81" s="10"/>
      <c r="B81" s="10">
        <v>1</v>
      </c>
      <c r="C81" s="10"/>
      <c r="D81" s="10"/>
      <c r="E81" s="10"/>
      <c r="F81" s="10"/>
      <c r="G81" s="10"/>
      <c r="H81" s="10"/>
      <c r="I81" s="10"/>
      <c r="J81" s="10"/>
      <c r="K81" s="5" t="str">
        <f t="shared" si="11"/>
        <v/>
      </c>
      <c r="L81" s="5" t="str">
        <f t="shared" si="12"/>
        <v>100%</v>
      </c>
      <c r="M81" s="5" t="str">
        <f t="shared" si="13"/>
        <v/>
      </c>
      <c r="N81" s="5" t="str">
        <f t="shared" si="14"/>
        <v/>
      </c>
      <c r="O81" s="5" t="str">
        <f t="shared" si="15"/>
        <v/>
      </c>
      <c r="P81" s="5" t="str">
        <f t="shared" si="16"/>
        <v/>
      </c>
      <c r="Q81" s="5" t="str">
        <f t="shared" si="17"/>
        <v/>
      </c>
      <c r="R81" s="5" t="str">
        <f t="shared" si="18"/>
        <v/>
      </c>
      <c r="S81" s="5" t="str">
        <f t="shared" si="19"/>
        <v/>
      </c>
      <c r="T81" s="5" t="str">
        <f t="shared" si="20"/>
        <v/>
      </c>
    </row>
    <row r="82" spans="1:20" x14ac:dyDescent="0.2">
      <c r="A82" s="11">
        <v>1.1000000000000001</v>
      </c>
      <c r="B82" s="11"/>
      <c r="C82" s="11"/>
      <c r="D82" s="11"/>
      <c r="E82" s="11"/>
      <c r="F82" s="11"/>
      <c r="G82" s="11"/>
      <c r="H82" s="11"/>
      <c r="I82" s="11"/>
      <c r="J82" s="11"/>
      <c r="K82" s="5" t="str">
        <f t="shared" si="11"/>
        <v>110%</v>
      </c>
      <c r="L82" s="5" t="str">
        <f t="shared" si="12"/>
        <v/>
      </c>
      <c r="M82" s="5" t="str">
        <f t="shared" si="13"/>
        <v/>
      </c>
      <c r="N82" s="5" t="str">
        <f t="shared" si="14"/>
        <v/>
      </c>
      <c r="O82" s="5" t="str">
        <f t="shared" si="15"/>
        <v/>
      </c>
      <c r="P82" s="5" t="str">
        <f t="shared" si="16"/>
        <v/>
      </c>
      <c r="Q82" s="5" t="str">
        <f t="shared" si="17"/>
        <v/>
      </c>
      <c r="R82" s="5" t="str">
        <f t="shared" si="18"/>
        <v/>
      </c>
      <c r="S82" s="5" t="str">
        <f t="shared" si="19"/>
        <v/>
      </c>
      <c r="T82" s="5" t="str">
        <f t="shared" si="20"/>
        <v/>
      </c>
    </row>
    <row r="83" spans="1:20" x14ac:dyDescent="0.2">
      <c r="A83" s="10"/>
      <c r="B83" s="10">
        <v>1</v>
      </c>
      <c r="C83" s="10"/>
      <c r="D83" s="10"/>
      <c r="E83" s="10"/>
      <c r="F83" s="10"/>
      <c r="G83" s="10"/>
      <c r="H83" s="10"/>
      <c r="I83" s="10"/>
      <c r="J83" s="10"/>
      <c r="K83" s="5" t="str">
        <f t="shared" si="11"/>
        <v/>
      </c>
      <c r="L83" s="5" t="str">
        <f t="shared" si="12"/>
        <v>100%</v>
      </c>
      <c r="M83" s="5" t="str">
        <f t="shared" si="13"/>
        <v/>
      </c>
      <c r="N83" s="5" t="str">
        <f t="shared" si="14"/>
        <v/>
      </c>
      <c r="O83" s="5" t="str">
        <f t="shared" si="15"/>
        <v/>
      </c>
      <c r="P83" s="5" t="str">
        <f t="shared" si="16"/>
        <v/>
      </c>
      <c r="Q83" s="5" t="str">
        <f t="shared" si="17"/>
        <v/>
      </c>
      <c r="R83" s="5" t="str">
        <f t="shared" si="18"/>
        <v/>
      </c>
      <c r="S83" s="5" t="str">
        <f t="shared" si="19"/>
        <v/>
      </c>
      <c r="T83" s="5" t="str">
        <f t="shared" si="20"/>
        <v/>
      </c>
    </row>
    <row r="84" spans="1:20" x14ac:dyDescent="0.2">
      <c r="A84" s="11"/>
      <c r="B84" s="11"/>
      <c r="C84" s="11"/>
      <c r="D84" s="11"/>
      <c r="E84" s="11"/>
      <c r="F84" s="11"/>
      <c r="G84" s="11"/>
      <c r="H84" s="11"/>
      <c r="I84" s="11">
        <v>0.4</v>
      </c>
      <c r="J84" s="11">
        <v>0.45</v>
      </c>
      <c r="K84" s="5" t="str">
        <f t="shared" si="11"/>
        <v/>
      </c>
      <c r="L84" s="5" t="str">
        <f t="shared" si="12"/>
        <v/>
      </c>
      <c r="M84" s="5" t="str">
        <f t="shared" si="13"/>
        <v/>
      </c>
      <c r="N84" s="5" t="str">
        <f t="shared" si="14"/>
        <v/>
      </c>
      <c r="O84" s="5" t="str">
        <f t="shared" si="15"/>
        <v/>
      </c>
      <c r="P84" s="5" t="str">
        <f t="shared" si="16"/>
        <v/>
      </c>
      <c r="Q84" s="5" t="str">
        <f t="shared" si="17"/>
        <v/>
      </c>
      <c r="R84" s="5" t="str">
        <f t="shared" si="18"/>
        <v/>
      </c>
      <c r="S84" s="5" t="str">
        <f t="shared" si="19"/>
        <v>40%</v>
      </c>
      <c r="T84" s="5" t="str">
        <f t="shared" si="20"/>
        <v>45%</v>
      </c>
    </row>
    <row r="85" spans="1:20" x14ac:dyDescent="0.2">
      <c r="A85" s="10">
        <v>1</v>
      </c>
      <c r="B85" s="10"/>
      <c r="C85" s="10"/>
      <c r="D85" s="10"/>
      <c r="E85" s="10"/>
      <c r="F85" s="10"/>
      <c r="G85" s="10"/>
      <c r="H85" s="10"/>
      <c r="I85" s="10"/>
      <c r="J85" s="10"/>
      <c r="K85" s="5" t="str">
        <f t="shared" si="11"/>
        <v>100%</v>
      </c>
      <c r="L85" s="5" t="str">
        <f t="shared" si="12"/>
        <v/>
      </c>
      <c r="M85" s="5" t="str">
        <f t="shared" si="13"/>
        <v/>
      </c>
      <c r="N85" s="5" t="str">
        <f t="shared" si="14"/>
        <v/>
      </c>
      <c r="O85" s="5" t="str">
        <f t="shared" si="15"/>
        <v/>
      </c>
      <c r="P85" s="5" t="str">
        <f t="shared" si="16"/>
        <v/>
      </c>
      <c r="Q85" s="5" t="str">
        <f t="shared" si="17"/>
        <v/>
      </c>
      <c r="R85" s="5" t="str">
        <f t="shared" si="18"/>
        <v/>
      </c>
      <c r="S85" s="5" t="str">
        <f t="shared" si="19"/>
        <v/>
      </c>
      <c r="T85" s="5" t="str">
        <f t="shared" si="20"/>
        <v/>
      </c>
    </row>
    <row r="86" spans="1:20" x14ac:dyDescent="0.2">
      <c r="A86" s="24"/>
      <c r="B86" s="24"/>
      <c r="C86" s="24"/>
      <c r="D86" s="24"/>
      <c r="E86" s="25">
        <v>0.5</v>
      </c>
      <c r="F86" s="25">
        <v>0.5</v>
      </c>
      <c r="G86" s="24"/>
      <c r="H86" s="24"/>
      <c r="I86" s="25">
        <v>0.2</v>
      </c>
      <c r="J86" s="25">
        <v>0.2</v>
      </c>
      <c r="K86" s="5" t="str">
        <f t="shared" si="11"/>
        <v/>
      </c>
      <c r="L86" s="5" t="str">
        <f t="shared" si="12"/>
        <v/>
      </c>
      <c r="M86" s="5" t="str">
        <f t="shared" si="13"/>
        <v/>
      </c>
      <c r="N86" s="5" t="str">
        <f t="shared" si="14"/>
        <v/>
      </c>
      <c r="O86" s="5" t="str">
        <f t="shared" si="15"/>
        <v>50%</v>
      </c>
      <c r="P86" s="5" t="str">
        <f t="shared" si="16"/>
        <v>50%</v>
      </c>
      <c r="Q86" s="5" t="str">
        <f t="shared" si="17"/>
        <v/>
      </c>
      <c r="R86" s="5" t="str">
        <f t="shared" si="18"/>
        <v/>
      </c>
      <c r="S86" s="5" t="str">
        <f t="shared" si="19"/>
        <v>20%</v>
      </c>
      <c r="T86" s="5" t="str">
        <f t="shared" si="20"/>
        <v>20%</v>
      </c>
    </row>
    <row r="87" spans="1:20" x14ac:dyDescent="0.2">
      <c r="A87" s="20"/>
      <c r="B87" s="20"/>
      <c r="C87" s="21">
        <v>0.5</v>
      </c>
      <c r="D87" s="21">
        <v>0.5</v>
      </c>
      <c r="E87" s="20"/>
      <c r="F87" s="20"/>
      <c r="G87" s="21">
        <v>0.5</v>
      </c>
      <c r="H87" s="21">
        <v>0.25</v>
      </c>
      <c r="I87" s="20"/>
      <c r="J87" s="20"/>
      <c r="K87" s="5" t="str">
        <f t="shared" si="11"/>
        <v/>
      </c>
      <c r="L87" s="5" t="str">
        <f t="shared" si="12"/>
        <v/>
      </c>
      <c r="M87" s="5" t="str">
        <f t="shared" si="13"/>
        <v>50%</v>
      </c>
      <c r="N87" s="5" t="str">
        <f t="shared" si="14"/>
        <v>50%</v>
      </c>
      <c r="O87" s="5" t="str">
        <f t="shared" si="15"/>
        <v/>
      </c>
      <c r="P87" s="5" t="str">
        <f t="shared" si="16"/>
        <v/>
      </c>
      <c r="Q87" s="5" t="str">
        <f t="shared" si="17"/>
        <v>50%</v>
      </c>
      <c r="R87" s="5" t="str">
        <f t="shared" si="18"/>
        <v>25%</v>
      </c>
      <c r="S87" s="5" t="str">
        <f t="shared" si="19"/>
        <v/>
      </c>
      <c r="T87" s="5" t="str">
        <f t="shared" si="20"/>
        <v/>
      </c>
    </row>
    <row r="88" spans="1:20" x14ac:dyDescent="0.2">
      <c r="A88" s="22"/>
      <c r="B88" s="22"/>
      <c r="C88" s="23">
        <v>0.5</v>
      </c>
      <c r="D88" s="23">
        <v>0.5</v>
      </c>
      <c r="E88" s="22"/>
      <c r="F88" s="22"/>
      <c r="G88" s="23">
        <v>0.5</v>
      </c>
      <c r="H88" s="23">
        <v>0.25</v>
      </c>
      <c r="I88" s="22"/>
      <c r="J88" s="22"/>
      <c r="K88" s="5" t="str">
        <f t="shared" si="11"/>
        <v/>
      </c>
      <c r="L88" s="5" t="str">
        <f t="shared" si="12"/>
        <v/>
      </c>
      <c r="M88" s="5" t="str">
        <f t="shared" si="13"/>
        <v>50%</v>
      </c>
      <c r="N88" s="5" t="str">
        <f t="shared" si="14"/>
        <v>50%</v>
      </c>
      <c r="O88" s="5" t="str">
        <f t="shared" si="15"/>
        <v/>
      </c>
      <c r="P88" s="5" t="str">
        <f t="shared" si="16"/>
        <v/>
      </c>
      <c r="Q88" s="5" t="str">
        <f t="shared" si="17"/>
        <v>50%</v>
      </c>
      <c r="R88" s="5" t="str">
        <f t="shared" si="18"/>
        <v>25%</v>
      </c>
      <c r="S88" s="5" t="str">
        <f t="shared" si="19"/>
        <v/>
      </c>
      <c r="T88" s="5" t="str">
        <f t="shared" si="20"/>
        <v/>
      </c>
    </row>
    <row r="89" spans="1:20" x14ac:dyDescent="0.2">
      <c r="A89" s="10">
        <v>1.1000000000000001</v>
      </c>
      <c r="B89" s="10"/>
      <c r="C89" s="10"/>
      <c r="D89" s="10"/>
      <c r="E89" s="10"/>
      <c r="F89" s="10"/>
      <c r="G89" s="10"/>
      <c r="H89" s="10"/>
      <c r="I89" s="10"/>
      <c r="J89" s="10"/>
      <c r="K89" s="5" t="str">
        <f t="shared" si="11"/>
        <v>110%</v>
      </c>
      <c r="L89" s="5" t="str">
        <f t="shared" si="12"/>
        <v/>
      </c>
      <c r="M89" s="5" t="str">
        <f t="shared" si="13"/>
        <v/>
      </c>
      <c r="N89" s="5" t="str">
        <f t="shared" si="14"/>
        <v/>
      </c>
      <c r="O89" s="5" t="str">
        <f t="shared" si="15"/>
        <v/>
      </c>
      <c r="P89" s="5" t="str">
        <f t="shared" si="16"/>
        <v/>
      </c>
      <c r="Q89" s="5" t="str">
        <f t="shared" si="17"/>
        <v/>
      </c>
      <c r="R89" s="5" t="str">
        <f t="shared" si="18"/>
        <v/>
      </c>
      <c r="S89" s="5" t="str">
        <f t="shared" si="19"/>
        <v/>
      </c>
      <c r="T89" s="5" t="str">
        <f t="shared" si="20"/>
        <v/>
      </c>
    </row>
    <row r="90" spans="1:20" x14ac:dyDescent="0.2">
      <c r="A90" s="11"/>
      <c r="B90" s="11"/>
      <c r="C90" s="11"/>
      <c r="D90" s="11"/>
      <c r="E90" s="11">
        <v>0.6</v>
      </c>
      <c r="F90" s="11">
        <v>0.6</v>
      </c>
      <c r="G90" s="11"/>
      <c r="H90" s="11"/>
      <c r="I90" s="11">
        <v>0.42</v>
      </c>
      <c r="J90" s="11"/>
      <c r="K90" s="5" t="str">
        <f t="shared" si="11"/>
        <v/>
      </c>
      <c r="L90" s="5" t="str">
        <f t="shared" si="12"/>
        <v/>
      </c>
      <c r="M90" s="5" t="str">
        <f t="shared" si="13"/>
        <v/>
      </c>
      <c r="N90" s="5" t="str">
        <f t="shared" si="14"/>
        <v/>
      </c>
      <c r="O90" s="5" t="str">
        <f t="shared" si="15"/>
        <v>60%</v>
      </c>
      <c r="P90" s="5" t="str">
        <f t="shared" si="16"/>
        <v>60%</v>
      </c>
      <c r="Q90" s="5" t="str">
        <f t="shared" si="17"/>
        <v/>
      </c>
      <c r="R90" s="5" t="str">
        <f t="shared" si="18"/>
        <v/>
      </c>
      <c r="S90" s="5" t="str">
        <f t="shared" si="19"/>
        <v>42%</v>
      </c>
      <c r="T90" s="5" t="str">
        <f t="shared" si="20"/>
        <v/>
      </c>
    </row>
    <row r="91" spans="1:20" x14ac:dyDescent="0.2">
      <c r="A91" s="10"/>
      <c r="B91" s="10">
        <v>1.2</v>
      </c>
      <c r="C91" s="10"/>
      <c r="D91" s="10"/>
      <c r="E91" s="10"/>
      <c r="F91" s="10"/>
      <c r="G91" s="10"/>
      <c r="H91" s="10"/>
      <c r="I91" s="10"/>
      <c r="J91" s="10"/>
      <c r="K91" s="5" t="str">
        <f t="shared" si="11"/>
        <v/>
      </c>
      <c r="L91" s="5" t="str">
        <f t="shared" si="12"/>
        <v>120%</v>
      </c>
      <c r="M91" s="5" t="str">
        <f t="shared" si="13"/>
        <v/>
      </c>
      <c r="N91" s="5" t="str">
        <f t="shared" si="14"/>
        <v/>
      </c>
      <c r="O91" s="5" t="str">
        <f t="shared" si="15"/>
        <v/>
      </c>
      <c r="P91" s="5" t="str">
        <f t="shared" si="16"/>
        <v/>
      </c>
      <c r="Q91" s="5" t="str">
        <f t="shared" si="17"/>
        <v/>
      </c>
      <c r="R91" s="5" t="str">
        <f t="shared" si="18"/>
        <v/>
      </c>
      <c r="S91" s="5" t="str">
        <f t="shared" si="19"/>
        <v/>
      </c>
      <c r="T91" s="5" t="str">
        <f t="shared" si="20"/>
        <v/>
      </c>
    </row>
    <row r="92" spans="1:20" x14ac:dyDescent="0.2">
      <c r="A92" s="11">
        <v>1.2</v>
      </c>
      <c r="B92" s="11"/>
      <c r="C92" s="11"/>
      <c r="D92" s="11"/>
      <c r="E92" s="11"/>
      <c r="F92" s="11"/>
      <c r="G92" s="11"/>
      <c r="H92" s="11"/>
      <c r="I92" s="11"/>
      <c r="J92" s="11"/>
      <c r="K92" s="5" t="str">
        <f t="shared" si="11"/>
        <v>120%</v>
      </c>
      <c r="L92" s="5" t="str">
        <f t="shared" si="12"/>
        <v/>
      </c>
      <c r="M92" s="5" t="str">
        <f t="shared" si="13"/>
        <v/>
      </c>
      <c r="N92" s="5" t="str">
        <f t="shared" si="14"/>
        <v/>
      </c>
      <c r="O92" s="5" t="str">
        <f t="shared" si="15"/>
        <v/>
      </c>
      <c r="P92" s="5" t="str">
        <f t="shared" si="16"/>
        <v/>
      </c>
      <c r="Q92" s="5" t="str">
        <f t="shared" si="17"/>
        <v/>
      </c>
      <c r="R92" s="5" t="str">
        <f t="shared" si="18"/>
        <v/>
      </c>
      <c r="S92" s="5" t="str">
        <f t="shared" si="19"/>
        <v/>
      </c>
      <c r="T92" s="5" t="str">
        <f t="shared" si="20"/>
        <v/>
      </c>
    </row>
    <row r="93" spans="1:20" x14ac:dyDescent="0.2">
      <c r="A93" s="10">
        <v>1.3</v>
      </c>
      <c r="B93" s="10"/>
      <c r="C93" s="10"/>
      <c r="D93" s="10"/>
      <c r="E93" s="10"/>
      <c r="F93" s="10"/>
      <c r="G93" s="10"/>
      <c r="H93" s="10"/>
      <c r="I93" s="10"/>
      <c r="J93" s="10"/>
      <c r="K93" s="5" t="str">
        <f t="shared" si="11"/>
        <v>130%</v>
      </c>
      <c r="L93" s="5" t="str">
        <f t="shared" si="12"/>
        <v/>
      </c>
      <c r="M93" s="5" t="str">
        <f t="shared" si="13"/>
        <v/>
      </c>
      <c r="N93" s="5" t="str">
        <f t="shared" si="14"/>
        <v/>
      </c>
      <c r="O93" s="5" t="str">
        <f t="shared" si="15"/>
        <v/>
      </c>
      <c r="P93" s="5" t="str">
        <f t="shared" si="16"/>
        <v/>
      </c>
      <c r="Q93" s="5" t="str">
        <f t="shared" si="17"/>
        <v/>
      </c>
      <c r="R93" s="5" t="str">
        <f t="shared" si="18"/>
        <v/>
      </c>
      <c r="S93" s="5" t="str">
        <f t="shared" si="19"/>
        <v/>
      </c>
      <c r="T93" s="5" t="str">
        <f t="shared" si="20"/>
        <v/>
      </c>
    </row>
    <row r="94" spans="1:20" x14ac:dyDescent="0.2">
      <c r="A94" s="11"/>
      <c r="B94" s="11">
        <v>1.35</v>
      </c>
      <c r="C94" s="11"/>
      <c r="D94" s="11"/>
      <c r="E94" s="11"/>
      <c r="F94" s="11"/>
      <c r="G94" s="11"/>
      <c r="H94" s="11"/>
      <c r="I94" s="11"/>
      <c r="J94" s="11"/>
      <c r="K94" s="5" t="str">
        <f t="shared" si="11"/>
        <v/>
      </c>
      <c r="L94" s="5" t="str">
        <f t="shared" si="12"/>
        <v>135%</v>
      </c>
      <c r="M94" s="5" t="str">
        <f t="shared" si="13"/>
        <v/>
      </c>
      <c r="N94" s="5" t="str">
        <f t="shared" si="14"/>
        <v/>
      </c>
      <c r="O94" s="5" t="str">
        <f t="shared" si="15"/>
        <v/>
      </c>
      <c r="P94" s="5" t="str">
        <f t="shared" si="16"/>
        <v/>
      </c>
      <c r="Q94" s="5" t="str">
        <f t="shared" si="17"/>
        <v/>
      </c>
      <c r="R94" s="5" t="str">
        <f t="shared" si="18"/>
        <v/>
      </c>
      <c r="S94" s="5" t="str">
        <f t="shared" si="19"/>
        <v/>
      </c>
      <c r="T94" s="5" t="str">
        <f t="shared" si="20"/>
        <v/>
      </c>
    </row>
    <row r="95" spans="1:20" x14ac:dyDescent="0.2">
      <c r="A95" s="10"/>
      <c r="B95" s="10">
        <v>1.2</v>
      </c>
      <c r="C95" s="10"/>
      <c r="D95" s="10"/>
      <c r="E95" s="10"/>
      <c r="F95" s="10"/>
      <c r="G95" s="10"/>
      <c r="H95" s="10"/>
      <c r="I95" s="10"/>
      <c r="J95" s="10"/>
      <c r="K95" s="5" t="str">
        <f t="shared" si="11"/>
        <v/>
      </c>
      <c r="L95" s="5" t="str">
        <f t="shared" si="12"/>
        <v>120%</v>
      </c>
      <c r="M95" s="5" t="str">
        <f t="shared" si="13"/>
        <v/>
      </c>
      <c r="N95" s="5" t="str">
        <f t="shared" si="14"/>
        <v/>
      </c>
      <c r="O95" s="5" t="str">
        <f t="shared" si="15"/>
        <v/>
      </c>
      <c r="P95" s="5" t="str">
        <f t="shared" si="16"/>
        <v/>
      </c>
      <c r="Q95" s="5" t="str">
        <f t="shared" si="17"/>
        <v/>
      </c>
      <c r="R95" s="5" t="str">
        <f t="shared" si="18"/>
        <v/>
      </c>
      <c r="S95" s="5" t="str">
        <f t="shared" si="19"/>
        <v/>
      </c>
      <c r="T95" s="5" t="str">
        <f t="shared" si="20"/>
        <v/>
      </c>
    </row>
    <row r="96" spans="1:20" x14ac:dyDescent="0.2">
      <c r="A96" s="11">
        <v>1.2</v>
      </c>
      <c r="B96" s="11"/>
      <c r="C96" s="11"/>
      <c r="D96" s="11"/>
      <c r="E96" s="11"/>
      <c r="F96" s="11"/>
      <c r="G96" s="11"/>
      <c r="H96" s="11"/>
      <c r="I96" s="11"/>
      <c r="J96" s="11"/>
      <c r="K96" s="5" t="str">
        <f t="shared" si="11"/>
        <v>120%</v>
      </c>
      <c r="L96" s="5" t="str">
        <f t="shared" si="12"/>
        <v/>
      </c>
      <c r="M96" s="5" t="str">
        <f t="shared" si="13"/>
        <v/>
      </c>
      <c r="N96" s="5" t="str">
        <f t="shared" si="14"/>
        <v/>
      </c>
      <c r="O96" s="5" t="str">
        <f t="shared" si="15"/>
        <v/>
      </c>
      <c r="P96" s="5" t="str">
        <f t="shared" si="16"/>
        <v/>
      </c>
      <c r="Q96" s="5" t="str">
        <f t="shared" si="17"/>
        <v/>
      </c>
      <c r="R96" s="5" t="str">
        <f t="shared" si="18"/>
        <v/>
      </c>
      <c r="S96" s="5" t="str">
        <f t="shared" si="19"/>
        <v/>
      </c>
      <c r="T96" s="5" t="str">
        <f t="shared" si="20"/>
        <v/>
      </c>
    </row>
    <row r="97" spans="1:20" x14ac:dyDescent="0.2">
      <c r="A97" s="10"/>
      <c r="B97" s="10">
        <v>1.2</v>
      </c>
      <c r="C97" s="10"/>
      <c r="D97" s="10"/>
      <c r="E97" s="10"/>
      <c r="F97" s="10"/>
      <c r="G97" s="10"/>
      <c r="H97" s="10"/>
      <c r="I97" s="10"/>
      <c r="J97" s="10"/>
      <c r="K97" s="5" t="str">
        <f t="shared" si="11"/>
        <v/>
      </c>
      <c r="L97" s="5" t="str">
        <f t="shared" si="12"/>
        <v>120%</v>
      </c>
      <c r="M97" s="5" t="str">
        <f t="shared" si="13"/>
        <v/>
      </c>
      <c r="N97" s="5" t="str">
        <f t="shared" si="14"/>
        <v/>
      </c>
      <c r="O97" s="5" t="str">
        <f t="shared" si="15"/>
        <v/>
      </c>
      <c r="P97" s="5" t="str">
        <f t="shared" si="16"/>
        <v/>
      </c>
      <c r="Q97" s="5" t="str">
        <f t="shared" si="17"/>
        <v/>
      </c>
      <c r="R97" s="5" t="str">
        <f t="shared" si="18"/>
        <v/>
      </c>
      <c r="S97" s="5" t="str">
        <f t="shared" si="19"/>
        <v/>
      </c>
      <c r="T97" s="5" t="str">
        <f t="shared" si="20"/>
        <v/>
      </c>
    </row>
    <row r="98" spans="1:20" x14ac:dyDescent="0.2">
      <c r="A98" s="11"/>
      <c r="B98" s="11"/>
      <c r="C98" s="11"/>
      <c r="D98" s="11"/>
      <c r="E98" s="11"/>
      <c r="F98" s="11"/>
      <c r="G98" s="11"/>
      <c r="H98" s="11"/>
      <c r="I98" s="11">
        <v>0.52</v>
      </c>
      <c r="J98" s="11">
        <v>0.42</v>
      </c>
      <c r="K98" s="5" t="str">
        <f t="shared" si="11"/>
        <v/>
      </c>
      <c r="L98" s="5" t="str">
        <f t="shared" si="12"/>
        <v/>
      </c>
      <c r="M98" s="5" t="str">
        <f t="shared" si="13"/>
        <v/>
      </c>
      <c r="N98" s="5" t="str">
        <f t="shared" si="14"/>
        <v/>
      </c>
      <c r="O98" s="5" t="str">
        <f t="shared" si="15"/>
        <v/>
      </c>
      <c r="P98" s="5" t="str">
        <f t="shared" si="16"/>
        <v/>
      </c>
      <c r="Q98" s="5" t="str">
        <f t="shared" si="17"/>
        <v/>
      </c>
      <c r="R98" s="5" t="str">
        <f t="shared" si="18"/>
        <v/>
      </c>
      <c r="S98" s="5" t="str">
        <f t="shared" si="19"/>
        <v>52%</v>
      </c>
      <c r="T98" s="5" t="str">
        <f t="shared" si="20"/>
        <v>42%</v>
      </c>
    </row>
    <row r="99" spans="1:20" x14ac:dyDescent="0.2">
      <c r="A99" s="10">
        <v>1.2</v>
      </c>
      <c r="B99" s="10"/>
      <c r="C99" s="10"/>
      <c r="D99" s="10"/>
      <c r="E99" s="10"/>
      <c r="F99" s="10"/>
      <c r="G99" s="10"/>
      <c r="H99" s="10"/>
      <c r="I99" s="10"/>
      <c r="J99" s="10"/>
      <c r="K99" s="5" t="str">
        <f t="shared" si="11"/>
        <v>120%</v>
      </c>
      <c r="L99" s="5" t="str">
        <f t="shared" si="12"/>
        <v/>
      </c>
      <c r="M99" s="5" t="str">
        <f t="shared" si="13"/>
        <v/>
      </c>
      <c r="N99" s="5" t="str">
        <f t="shared" si="14"/>
        <v/>
      </c>
      <c r="O99" s="5" t="str">
        <f t="shared" si="15"/>
        <v/>
      </c>
      <c r="P99" s="5" t="str">
        <f t="shared" si="16"/>
        <v/>
      </c>
      <c r="Q99" s="5" t="str">
        <f t="shared" si="17"/>
        <v/>
      </c>
      <c r="R99" s="5" t="str">
        <f t="shared" si="18"/>
        <v/>
      </c>
      <c r="S99" s="5" t="str">
        <f t="shared" si="19"/>
        <v/>
      </c>
      <c r="T99" s="5" t="str">
        <f t="shared" si="20"/>
        <v/>
      </c>
    </row>
    <row r="100" spans="1:20" x14ac:dyDescent="0.2">
      <c r="A100" s="11"/>
      <c r="B100" s="11"/>
      <c r="C100" s="11"/>
      <c r="D100" s="11"/>
      <c r="E100" s="11">
        <v>0.56999999999999995</v>
      </c>
      <c r="F100" s="11">
        <v>0.56999999999999995</v>
      </c>
      <c r="G100" s="11"/>
      <c r="H100" s="11"/>
      <c r="I100" s="11">
        <v>0.45</v>
      </c>
      <c r="J100" s="11"/>
      <c r="K100" s="5" t="str">
        <f t="shared" si="11"/>
        <v/>
      </c>
      <c r="L100" s="5" t="str">
        <f t="shared" si="12"/>
        <v/>
      </c>
      <c r="M100" s="5" t="str">
        <f t="shared" si="13"/>
        <v/>
      </c>
      <c r="N100" s="5" t="str">
        <f t="shared" si="14"/>
        <v/>
      </c>
      <c r="O100" s="5" t="str">
        <f t="shared" si="15"/>
        <v>57%</v>
      </c>
      <c r="P100" s="5" t="str">
        <f t="shared" si="16"/>
        <v>57%</v>
      </c>
      <c r="Q100" s="5" t="str">
        <f t="shared" si="17"/>
        <v/>
      </c>
      <c r="R100" s="5" t="str">
        <f t="shared" si="18"/>
        <v/>
      </c>
      <c r="S100" s="5" t="str">
        <f t="shared" si="19"/>
        <v>45%</v>
      </c>
      <c r="T100" s="5" t="str">
        <f t="shared" si="20"/>
        <v/>
      </c>
    </row>
    <row r="101" spans="1:20" x14ac:dyDescent="0.2">
      <c r="A101" s="10"/>
      <c r="B101" s="10"/>
      <c r="C101" s="10">
        <v>0.66</v>
      </c>
      <c r="D101" s="10">
        <v>0.55000000000000004</v>
      </c>
      <c r="E101" s="10"/>
      <c r="F101" s="10"/>
      <c r="G101" s="10">
        <v>0.32</v>
      </c>
      <c r="H101" s="10">
        <v>0.3</v>
      </c>
      <c r="I101" s="10"/>
      <c r="J101" s="10"/>
      <c r="K101" s="5" t="str">
        <f t="shared" si="11"/>
        <v/>
      </c>
      <c r="L101" s="5" t="str">
        <f t="shared" si="12"/>
        <v/>
      </c>
      <c r="M101" s="5" t="str">
        <f t="shared" si="13"/>
        <v>66%</v>
      </c>
      <c r="N101" s="5" t="str">
        <f t="shared" si="14"/>
        <v>55%</v>
      </c>
      <c r="O101" s="5" t="str">
        <f t="shared" si="15"/>
        <v/>
      </c>
      <c r="P101" s="5" t="str">
        <f t="shared" si="16"/>
        <v/>
      </c>
      <c r="Q101" s="5" t="str">
        <f t="shared" si="17"/>
        <v>32%</v>
      </c>
      <c r="R101" s="5" t="str">
        <f t="shared" si="18"/>
        <v>30%</v>
      </c>
      <c r="S101" s="5" t="str">
        <f t="shared" si="19"/>
        <v/>
      </c>
      <c r="T101" s="5" t="str">
        <f t="shared" si="20"/>
        <v/>
      </c>
    </row>
    <row r="102" spans="1:20" x14ac:dyDescent="0.2">
      <c r="A102" s="11"/>
      <c r="B102" s="11"/>
      <c r="C102" s="11">
        <v>0.55000000000000004</v>
      </c>
      <c r="D102" s="11">
        <v>0.65</v>
      </c>
      <c r="E102" s="11"/>
      <c r="F102" s="11"/>
      <c r="G102" s="11">
        <v>0.3</v>
      </c>
      <c r="H102" s="11">
        <v>0.3</v>
      </c>
      <c r="I102" s="11"/>
      <c r="J102" s="11"/>
      <c r="K102" s="5" t="str">
        <f t="shared" si="11"/>
        <v/>
      </c>
      <c r="L102" s="5" t="str">
        <f t="shared" si="12"/>
        <v/>
      </c>
      <c r="M102" s="5" t="str">
        <f t="shared" si="13"/>
        <v>55%</v>
      </c>
      <c r="N102" s="5" t="str">
        <f t="shared" si="14"/>
        <v>65%</v>
      </c>
      <c r="O102" s="5" t="str">
        <f t="shared" si="15"/>
        <v/>
      </c>
      <c r="P102" s="5" t="str">
        <f t="shared" si="16"/>
        <v/>
      </c>
      <c r="Q102" s="5" t="str">
        <f t="shared" si="17"/>
        <v>30%</v>
      </c>
      <c r="R102" s="5" t="str">
        <f t="shared" si="18"/>
        <v>30%</v>
      </c>
      <c r="S102" s="5" t="str">
        <f t="shared" si="19"/>
        <v/>
      </c>
      <c r="T102" s="5" t="str">
        <f t="shared" si="20"/>
        <v/>
      </c>
    </row>
    <row r="103" spans="1:20" x14ac:dyDescent="0.2">
      <c r="A103" s="10">
        <v>0.92</v>
      </c>
      <c r="B103" s="10"/>
      <c r="C103" s="10"/>
      <c r="D103" s="10"/>
      <c r="E103" s="10"/>
      <c r="F103" s="10"/>
      <c r="G103" s="10"/>
      <c r="H103" s="10"/>
      <c r="I103" s="10"/>
      <c r="J103" s="10"/>
      <c r="K103" s="5" t="str">
        <f t="shared" si="11"/>
        <v>92%</v>
      </c>
      <c r="L103" s="5" t="str">
        <f t="shared" si="12"/>
        <v/>
      </c>
      <c r="M103" s="5" t="str">
        <f t="shared" si="13"/>
        <v/>
      </c>
      <c r="N103" s="5" t="str">
        <f t="shared" si="14"/>
        <v/>
      </c>
      <c r="O103" s="5" t="str">
        <f t="shared" si="15"/>
        <v/>
      </c>
      <c r="P103" s="5" t="str">
        <f t="shared" si="16"/>
        <v/>
      </c>
      <c r="Q103" s="5" t="str">
        <f t="shared" si="17"/>
        <v/>
      </c>
      <c r="R103" s="5" t="str">
        <f t="shared" si="18"/>
        <v/>
      </c>
      <c r="S103" s="5" t="str">
        <f t="shared" si="19"/>
        <v/>
      </c>
      <c r="T103" s="5" t="str">
        <f t="shared" si="20"/>
        <v/>
      </c>
    </row>
    <row r="104" spans="1:20" x14ac:dyDescent="0.2">
      <c r="A104" s="11"/>
      <c r="B104" s="11">
        <v>0.92</v>
      </c>
      <c r="C104" s="11"/>
      <c r="D104" s="11"/>
      <c r="E104" s="11"/>
      <c r="F104" s="11"/>
      <c r="G104" s="11"/>
      <c r="H104" s="11"/>
      <c r="I104" s="11"/>
      <c r="J104" s="11"/>
      <c r="K104" s="5" t="str">
        <f t="shared" si="11"/>
        <v/>
      </c>
      <c r="L104" s="5" t="str">
        <f t="shared" si="12"/>
        <v>92%</v>
      </c>
      <c r="M104" s="5" t="str">
        <f t="shared" si="13"/>
        <v/>
      </c>
      <c r="N104" s="5" t="str">
        <f t="shared" si="14"/>
        <v/>
      </c>
      <c r="O104" s="5" t="str">
        <f t="shared" si="15"/>
        <v/>
      </c>
      <c r="P104" s="5" t="str">
        <f t="shared" si="16"/>
        <v/>
      </c>
      <c r="Q104" s="5" t="str">
        <f t="shared" si="17"/>
        <v/>
      </c>
      <c r="R104" s="5" t="str">
        <f t="shared" si="18"/>
        <v/>
      </c>
      <c r="S104" s="5" t="str">
        <f t="shared" si="19"/>
        <v/>
      </c>
      <c r="T104" s="5" t="str">
        <f t="shared" si="20"/>
        <v/>
      </c>
    </row>
    <row r="105" spans="1:20" x14ac:dyDescent="0.2">
      <c r="A105" s="10"/>
      <c r="B105" s="10">
        <v>0.92</v>
      </c>
      <c r="C105" s="10"/>
      <c r="D105" s="10"/>
      <c r="E105" s="10"/>
      <c r="F105" s="10"/>
      <c r="G105" s="10"/>
      <c r="H105" s="10"/>
      <c r="I105" s="10"/>
      <c r="J105" s="10"/>
      <c r="K105" s="5" t="str">
        <f t="shared" si="11"/>
        <v/>
      </c>
      <c r="L105" s="5" t="str">
        <f t="shared" si="12"/>
        <v>92%</v>
      </c>
      <c r="M105" s="5" t="str">
        <f t="shared" si="13"/>
        <v/>
      </c>
      <c r="N105" s="5" t="str">
        <f t="shared" si="14"/>
        <v/>
      </c>
      <c r="O105" s="5" t="str">
        <f t="shared" si="15"/>
        <v/>
      </c>
      <c r="P105" s="5" t="str">
        <f t="shared" si="16"/>
        <v/>
      </c>
      <c r="Q105" s="5" t="str">
        <f t="shared" si="17"/>
        <v/>
      </c>
      <c r="R105" s="5" t="str">
        <f t="shared" si="18"/>
        <v/>
      </c>
      <c r="S105" s="5" t="str">
        <f t="shared" si="19"/>
        <v/>
      </c>
      <c r="T105" s="5" t="str">
        <f t="shared" si="20"/>
        <v/>
      </c>
    </row>
    <row r="106" spans="1:20" x14ac:dyDescent="0.2">
      <c r="A106" s="11">
        <v>0.92</v>
      </c>
      <c r="B106" s="11"/>
      <c r="C106" s="11"/>
      <c r="D106" s="11"/>
      <c r="E106" s="11"/>
      <c r="F106" s="11"/>
      <c r="G106" s="11"/>
      <c r="H106" s="11"/>
      <c r="I106" s="11"/>
      <c r="J106" s="11"/>
      <c r="K106" s="5" t="str">
        <f t="shared" si="11"/>
        <v>92%</v>
      </c>
      <c r="L106" s="5" t="str">
        <f t="shared" si="12"/>
        <v/>
      </c>
      <c r="M106" s="5" t="str">
        <f t="shared" si="13"/>
        <v/>
      </c>
      <c r="N106" s="5" t="str">
        <f t="shared" si="14"/>
        <v/>
      </c>
      <c r="O106" s="5" t="str">
        <f t="shared" si="15"/>
        <v/>
      </c>
      <c r="P106" s="5" t="str">
        <f t="shared" si="16"/>
        <v/>
      </c>
      <c r="Q106" s="5" t="str">
        <f t="shared" si="17"/>
        <v/>
      </c>
      <c r="R106" s="5" t="str">
        <f t="shared" si="18"/>
        <v/>
      </c>
      <c r="S106" s="5" t="str">
        <f t="shared" si="19"/>
        <v/>
      </c>
      <c r="T106" s="5" t="str">
        <f t="shared" si="20"/>
        <v/>
      </c>
    </row>
    <row r="107" spans="1:20" x14ac:dyDescent="0.2">
      <c r="A107" s="10"/>
      <c r="B107" s="10"/>
      <c r="C107" s="10"/>
      <c r="D107" s="10"/>
      <c r="E107" s="10">
        <v>0.47</v>
      </c>
      <c r="F107" s="10">
        <v>0.47</v>
      </c>
      <c r="G107" s="10"/>
      <c r="H107" s="10"/>
      <c r="I107" s="10">
        <v>0.33</v>
      </c>
      <c r="J107" s="10"/>
      <c r="K107" s="5" t="str">
        <f t="shared" si="11"/>
        <v/>
      </c>
      <c r="L107" s="5" t="str">
        <f t="shared" si="12"/>
        <v/>
      </c>
      <c r="M107" s="5" t="str">
        <f t="shared" si="13"/>
        <v/>
      </c>
      <c r="N107" s="5" t="str">
        <f t="shared" si="14"/>
        <v/>
      </c>
      <c r="O107" s="5" t="str">
        <f t="shared" si="15"/>
        <v>47%</v>
      </c>
      <c r="P107" s="5" t="str">
        <f t="shared" si="16"/>
        <v>47%</v>
      </c>
      <c r="Q107" s="5" t="str">
        <f t="shared" si="17"/>
        <v/>
      </c>
      <c r="R107" s="5" t="str">
        <f t="shared" si="18"/>
        <v/>
      </c>
      <c r="S107" s="5" t="str">
        <f t="shared" si="19"/>
        <v>33%</v>
      </c>
      <c r="T107" s="5" t="str">
        <f t="shared" si="20"/>
        <v/>
      </c>
    </row>
    <row r="108" spans="1:20" x14ac:dyDescent="0.2">
      <c r="A108" s="11"/>
      <c r="B108" s="11"/>
      <c r="C108" s="11">
        <v>0.46</v>
      </c>
      <c r="D108" s="11">
        <v>0.46</v>
      </c>
      <c r="E108" s="11"/>
      <c r="F108" s="11"/>
      <c r="G108" s="11">
        <v>0.23</v>
      </c>
      <c r="H108" s="11">
        <v>0.23</v>
      </c>
      <c r="I108" s="11"/>
      <c r="J108" s="11"/>
      <c r="K108" s="5" t="str">
        <f t="shared" si="11"/>
        <v/>
      </c>
      <c r="L108" s="5" t="str">
        <f t="shared" si="12"/>
        <v/>
      </c>
      <c r="M108" s="5" t="str">
        <f t="shared" si="13"/>
        <v>46%</v>
      </c>
      <c r="N108" s="5" t="str">
        <f t="shared" si="14"/>
        <v>46%</v>
      </c>
      <c r="O108" s="5" t="str">
        <f t="shared" si="15"/>
        <v/>
      </c>
      <c r="P108" s="5" t="str">
        <f t="shared" si="16"/>
        <v/>
      </c>
      <c r="Q108" s="5" t="str">
        <f t="shared" si="17"/>
        <v>23%</v>
      </c>
      <c r="R108" s="5" t="str">
        <f t="shared" si="18"/>
        <v>23%</v>
      </c>
      <c r="S108" s="5" t="str">
        <f t="shared" si="19"/>
        <v/>
      </c>
      <c r="T108" s="5" t="str">
        <f t="shared" si="20"/>
        <v/>
      </c>
    </row>
    <row r="109" spans="1:20" x14ac:dyDescent="0.2">
      <c r="A109" s="10"/>
      <c r="B109" s="10"/>
      <c r="C109" s="10">
        <v>0.46</v>
      </c>
      <c r="D109" s="10">
        <v>0.46</v>
      </c>
      <c r="E109" s="10"/>
      <c r="F109" s="10"/>
      <c r="G109" s="10">
        <v>0.23</v>
      </c>
      <c r="H109" s="10">
        <v>0.23</v>
      </c>
      <c r="I109" s="10"/>
      <c r="J109" s="10"/>
      <c r="K109" s="5" t="str">
        <f t="shared" si="11"/>
        <v/>
      </c>
      <c r="L109" s="5" t="str">
        <f t="shared" si="12"/>
        <v/>
      </c>
      <c r="M109" s="5" t="str">
        <f t="shared" si="13"/>
        <v>46%</v>
      </c>
      <c r="N109" s="5" t="str">
        <f t="shared" si="14"/>
        <v>46%</v>
      </c>
      <c r="O109" s="5" t="str">
        <f t="shared" si="15"/>
        <v/>
      </c>
      <c r="P109" s="5" t="str">
        <f t="shared" si="16"/>
        <v/>
      </c>
      <c r="Q109" s="5" t="str">
        <f t="shared" si="17"/>
        <v>23%</v>
      </c>
      <c r="R109" s="5" t="str">
        <f t="shared" si="18"/>
        <v>23%</v>
      </c>
      <c r="S109" s="5" t="str">
        <f t="shared" si="19"/>
        <v/>
      </c>
      <c r="T109" s="5" t="str">
        <f t="shared" si="20"/>
        <v/>
      </c>
    </row>
    <row r="110" spans="1:20" x14ac:dyDescent="0.2">
      <c r="A110" s="11"/>
      <c r="B110" s="11"/>
      <c r="C110" s="11"/>
      <c r="D110" s="11"/>
      <c r="E110" s="11"/>
      <c r="F110" s="11"/>
      <c r="G110" s="11"/>
      <c r="H110" s="11"/>
      <c r="I110" s="11">
        <v>0.33</v>
      </c>
      <c r="J110" s="11">
        <v>0.46</v>
      </c>
      <c r="K110" s="5" t="str">
        <f t="shared" si="11"/>
        <v/>
      </c>
      <c r="L110" s="5" t="str">
        <f t="shared" si="12"/>
        <v/>
      </c>
      <c r="M110" s="5" t="str">
        <f t="shared" si="13"/>
        <v/>
      </c>
      <c r="N110" s="5" t="str">
        <f t="shared" si="14"/>
        <v/>
      </c>
      <c r="O110" s="5" t="str">
        <f t="shared" si="15"/>
        <v/>
      </c>
      <c r="P110" s="5" t="str">
        <f t="shared" si="16"/>
        <v/>
      </c>
      <c r="Q110" s="5" t="str">
        <f t="shared" si="17"/>
        <v/>
      </c>
      <c r="R110" s="5" t="str">
        <f t="shared" si="18"/>
        <v/>
      </c>
      <c r="S110" s="5" t="str">
        <f t="shared" si="19"/>
        <v>33%</v>
      </c>
      <c r="T110" s="5" t="str">
        <f t="shared" si="20"/>
        <v>46%</v>
      </c>
    </row>
    <row r="111" spans="1:20" x14ac:dyDescent="0.2">
      <c r="A111" s="10">
        <v>1.03</v>
      </c>
      <c r="B111" s="10"/>
      <c r="C111" s="10"/>
      <c r="D111" s="10"/>
      <c r="E111" s="10"/>
      <c r="F111" s="10"/>
      <c r="G111" s="10"/>
      <c r="H111" s="10"/>
      <c r="I111" s="10"/>
      <c r="J111" s="10"/>
      <c r="K111" s="5" t="str">
        <f t="shared" si="11"/>
        <v>103%</v>
      </c>
      <c r="L111" s="5" t="str">
        <f t="shared" si="12"/>
        <v/>
      </c>
      <c r="M111" s="5" t="str">
        <f t="shared" si="13"/>
        <v/>
      </c>
      <c r="N111" s="5" t="str">
        <f t="shared" si="14"/>
        <v/>
      </c>
      <c r="O111" s="5" t="str">
        <f t="shared" si="15"/>
        <v/>
      </c>
      <c r="P111" s="5" t="str">
        <f t="shared" si="16"/>
        <v/>
      </c>
      <c r="Q111" s="5" t="str">
        <f t="shared" si="17"/>
        <v/>
      </c>
      <c r="R111" s="5" t="str">
        <f t="shared" si="18"/>
        <v/>
      </c>
      <c r="S111" s="5" t="str">
        <f t="shared" si="19"/>
        <v/>
      </c>
      <c r="T111" s="5" t="str">
        <f t="shared" si="20"/>
        <v/>
      </c>
    </row>
    <row r="112" spans="1:20" x14ac:dyDescent="0.2">
      <c r="A112" s="11"/>
      <c r="B112" s="11">
        <v>1.03</v>
      </c>
      <c r="C112" s="11"/>
      <c r="D112" s="11"/>
      <c r="E112" s="11"/>
      <c r="F112" s="11"/>
      <c r="G112" s="11"/>
      <c r="H112" s="11"/>
      <c r="I112" s="11"/>
      <c r="J112" s="11"/>
      <c r="K112" s="5" t="str">
        <f t="shared" si="11"/>
        <v/>
      </c>
      <c r="L112" s="5" t="str">
        <f t="shared" si="12"/>
        <v>103%</v>
      </c>
      <c r="M112" s="5" t="str">
        <f t="shared" si="13"/>
        <v/>
      </c>
      <c r="N112" s="5" t="str">
        <f t="shared" si="14"/>
        <v/>
      </c>
      <c r="O112" s="5" t="str">
        <f t="shared" si="15"/>
        <v/>
      </c>
      <c r="P112" s="5" t="str">
        <f t="shared" si="16"/>
        <v/>
      </c>
      <c r="Q112" s="5" t="str">
        <f t="shared" si="17"/>
        <v/>
      </c>
      <c r="R112" s="5" t="str">
        <f t="shared" si="18"/>
        <v/>
      </c>
      <c r="S112" s="5" t="str">
        <f t="shared" si="19"/>
        <v/>
      </c>
      <c r="T112" s="5" t="str">
        <f t="shared" si="20"/>
        <v/>
      </c>
    </row>
    <row r="113" spans="1:20" x14ac:dyDescent="0.2">
      <c r="A113" s="10"/>
      <c r="B113" s="10">
        <v>1.03</v>
      </c>
      <c r="C113" s="10"/>
      <c r="D113" s="10"/>
      <c r="E113" s="10"/>
      <c r="F113" s="10"/>
      <c r="G113" s="10"/>
      <c r="H113" s="10"/>
      <c r="I113" s="10"/>
      <c r="J113" s="10"/>
      <c r="K113" s="5" t="str">
        <f t="shared" si="11"/>
        <v/>
      </c>
      <c r="L113" s="5" t="str">
        <f t="shared" si="12"/>
        <v>103%</v>
      </c>
      <c r="M113" s="5" t="str">
        <f t="shared" si="13"/>
        <v/>
      </c>
      <c r="N113" s="5" t="str">
        <f t="shared" si="14"/>
        <v/>
      </c>
      <c r="O113" s="5" t="str">
        <f t="shared" si="15"/>
        <v/>
      </c>
      <c r="P113" s="5" t="str">
        <f t="shared" si="16"/>
        <v/>
      </c>
      <c r="Q113" s="5" t="str">
        <f t="shared" si="17"/>
        <v/>
      </c>
      <c r="R113" s="5" t="str">
        <f t="shared" si="18"/>
        <v/>
      </c>
      <c r="S113" s="5" t="str">
        <f t="shared" si="19"/>
        <v/>
      </c>
      <c r="T113" s="5" t="str">
        <f t="shared" si="20"/>
        <v/>
      </c>
    </row>
    <row r="114" spans="1:20" x14ac:dyDescent="0.2">
      <c r="A114" s="11"/>
      <c r="B114" s="11"/>
      <c r="C114" s="11"/>
      <c r="D114" s="11"/>
      <c r="E114" s="11"/>
      <c r="F114" s="11"/>
      <c r="G114" s="11"/>
      <c r="H114" s="11"/>
      <c r="I114" s="11"/>
      <c r="J114" s="11"/>
      <c r="K114" s="5" t="str">
        <f t="shared" si="11"/>
        <v/>
      </c>
      <c r="L114" s="5" t="str">
        <f t="shared" si="12"/>
        <v/>
      </c>
      <c r="M114" s="5" t="str">
        <f t="shared" si="13"/>
        <v/>
      </c>
      <c r="N114" s="5" t="str">
        <f t="shared" si="14"/>
        <v/>
      </c>
      <c r="O114" s="5" t="str">
        <f t="shared" si="15"/>
        <v/>
      </c>
      <c r="P114" s="5" t="str">
        <f t="shared" si="16"/>
        <v/>
      </c>
      <c r="Q114" s="5" t="str">
        <f t="shared" si="17"/>
        <v/>
      </c>
      <c r="R114" s="5" t="str">
        <f t="shared" si="18"/>
        <v/>
      </c>
      <c r="S114" s="5" t="str">
        <f t="shared" si="19"/>
        <v/>
      </c>
      <c r="T114" s="5" t="str">
        <f t="shared" si="20"/>
        <v/>
      </c>
    </row>
    <row r="115" spans="1:20" x14ac:dyDescent="0.2">
      <c r="A115" s="10"/>
      <c r="B115" s="10"/>
      <c r="C115" s="10"/>
      <c r="D115" s="10"/>
      <c r="E115" s="10">
        <v>0.52</v>
      </c>
      <c r="F115" s="10">
        <v>0.52</v>
      </c>
      <c r="G115" s="10"/>
      <c r="H115" s="10"/>
      <c r="I115" s="10">
        <v>0.36</v>
      </c>
      <c r="J115" s="10"/>
      <c r="K115" s="5" t="str">
        <f t="shared" si="11"/>
        <v/>
      </c>
      <c r="L115" s="5" t="str">
        <f t="shared" si="12"/>
        <v/>
      </c>
      <c r="M115" s="5" t="str">
        <f t="shared" si="13"/>
        <v/>
      </c>
      <c r="N115" s="5" t="str">
        <f t="shared" si="14"/>
        <v/>
      </c>
      <c r="O115" s="5" t="str">
        <f t="shared" si="15"/>
        <v>52%</v>
      </c>
      <c r="P115" s="5" t="str">
        <f t="shared" si="16"/>
        <v>52%</v>
      </c>
      <c r="Q115" s="5" t="str">
        <f t="shared" si="17"/>
        <v/>
      </c>
      <c r="R115" s="5" t="str">
        <f t="shared" si="18"/>
        <v/>
      </c>
      <c r="S115" s="5" t="str">
        <f t="shared" si="19"/>
        <v>36%</v>
      </c>
      <c r="T115" s="5" t="str">
        <f t="shared" si="20"/>
        <v/>
      </c>
    </row>
    <row r="116" spans="1:20" x14ac:dyDescent="0.2">
      <c r="A116" s="11"/>
      <c r="B116" s="11"/>
      <c r="C116" s="11">
        <v>0.51</v>
      </c>
      <c r="D116" s="11">
        <v>0.51</v>
      </c>
      <c r="E116" s="11"/>
      <c r="F116" s="11"/>
      <c r="G116" s="11">
        <v>0.26</v>
      </c>
      <c r="H116" s="11">
        <v>0.26</v>
      </c>
      <c r="I116" s="11"/>
      <c r="J116" s="11"/>
      <c r="K116" s="5" t="str">
        <f t="shared" si="11"/>
        <v/>
      </c>
      <c r="L116" s="5" t="str">
        <f t="shared" si="12"/>
        <v/>
      </c>
      <c r="M116" s="5" t="str">
        <f t="shared" si="13"/>
        <v>51%</v>
      </c>
      <c r="N116" s="5" t="str">
        <f t="shared" si="14"/>
        <v>51%</v>
      </c>
      <c r="O116" s="5" t="str">
        <f t="shared" si="15"/>
        <v/>
      </c>
      <c r="P116" s="5" t="str">
        <f t="shared" si="16"/>
        <v/>
      </c>
      <c r="Q116" s="5" t="str">
        <f t="shared" si="17"/>
        <v>26%</v>
      </c>
      <c r="R116" s="5" t="str">
        <f t="shared" si="18"/>
        <v>26%</v>
      </c>
      <c r="S116" s="5" t="str">
        <f t="shared" si="19"/>
        <v/>
      </c>
      <c r="T116" s="5" t="str">
        <f t="shared" si="20"/>
        <v/>
      </c>
    </row>
    <row r="117" spans="1:20" x14ac:dyDescent="0.2">
      <c r="A117" s="10"/>
      <c r="B117" s="10"/>
      <c r="C117" s="10">
        <v>0.51</v>
      </c>
      <c r="D117" s="10">
        <v>0.51</v>
      </c>
      <c r="E117" s="10"/>
      <c r="F117" s="10"/>
      <c r="G117" s="10">
        <v>0.26</v>
      </c>
      <c r="H117" s="10">
        <v>0.26</v>
      </c>
      <c r="I117" s="10"/>
      <c r="J117" s="10"/>
      <c r="K117" s="5" t="str">
        <f t="shared" si="11"/>
        <v/>
      </c>
      <c r="L117" s="5" t="str">
        <f t="shared" si="12"/>
        <v/>
      </c>
      <c r="M117" s="5" t="str">
        <f t="shared" si="13"/>
        <v>51%</v>
      </c>
      <c r="N117" s="5" t="str">
        <f t="shared" si="14"/>
        <v>51%</v>
      </c>
      <c r="O117" s="5" t="str">
        <f t="shared" si="15"/>
        <v/>
      </c>
      <c r="P117" s="5" t="str">
        <f t="shared" si="16"/>
        <v/>
      </c>
      <c r="Q117" s="5" t="str">
        <f t="shared" si="17"/>
        <v>26%</v>
      </c>
      <c r="R117" s="5" t="str">
        <f t="shared" si="18"/>
        <v>26%</v>
      </c>
      <c r="S117" s="5" t="str">
        <f t="shared" si="19"/>
        <v/>
      </c>
      <c r="T117" s="5" t="str">
        <f t="shared" si="20"/>
        <v/>
      </c>
    </row>
    <row r="118" spans="1:20" x14ac:dyDescent="0.2">
      <c r="A118" s="11"/>
      <c r="B118" s="11"/>
      <c r="C118" s="11"/>
      <c r="D118" s="11"/>
      <c r="E118" s="11"/>
      <c r="F118" s="11"/>
      <c r="G118" s="11"/>
      <c r="H118" s="11"/>
      <c r="I118" s="11">
        <v>0.37</v>
      </c>
      <c r="J118" s="11">
        <v>0.51</v>
      </c>
      <c r="K118" s="5" t="str">
        <f t="shared" si="11"/>
        <v/>
      </c>
      <c r="L118" s="5" t="str">
        <f t="shared" si="12"/>
        <v/>
      </c>
      <c r="M118" s="5" t="str">
        <f t="shared" si="13"/>
        <v/>
      </c>
      <c r="N118" s="5" t="str">
        <f t="shared" si="14"/>
        <v/>
      </c>
      <c r="O118" s="5" t="str">
        <f t="shared" si="15"/>
        <v/>
      </c>
      <c r="P118" s="5" t="str">
        <f t="shared" si="16"/>
        <v/>
      </c>
      <c r="Q118" s="5" t="str">
        <f t="shared" si="17"/>
        <v/>
      </c>
      <c r="R118" s="5" t="str">
        <f t="shared" si="18"/>
        <v/>
      </c>
      <c r="S118" s="5" t="str">
        <f t="shared" si="19"/>
        <v>37%</v>
      </c>
      <c r="T118" s="5" t="str">
        <f t="shared" si="20"/>
        <v>51%</v>
      </c>
    </row>
    <row r="119" spans="1:20" x14ac:dyDescent="0.2">
      <c r="A119" s="10">
        <v>1.1399999999999999</v>
      </c>
      <c r="B119" s="10"/>
      <c r="C119" s="10"/>
      <c r="D119" s="10"/>
      <c r="E119" s="10"/>
      <c r="F119" s="10"/>
      <c r="G119" s="10"/>
      <c r="H119" s="10"/>
      <c r="I119" s="10"/>
      <c r="J119" s="10"/>
      <c r="K119" s="5" t="str">
        <f t="shared" si="11"/>
        <v>114%</v>
      </c>
      <c r="L119" s="5" t="str">
        <f t="shared" si="12"/>
        <v/>
      </c>
      <c r="M119" s="5" t="str">
        <f t="shared" si="13"/>
        <v/>
      </c>
      <c r="N119" s="5" t="str">
        <f t="shared" si="14"/>
        <v/>
      </c>
      <c r="O119" s="5" t="str">
        <f t="shared" si="15"/>
        <v/>
      </c>
      <c r="P119" s="5" t="str">
        <f t="shared" si="16"/>
        <v/>
      </c>
      <c r="Q119" s="5" t="str">
        <f t="shared" si="17"/>
        <v/>
      </c>
      <c r="R119" s="5" t="str">
        <f t="shared" si="18"/>
        <v/>
      </c>
      <c r="S119" s="5" t="str">
        <f t="shared" si="19"/>
        <v/>
      </c>
      <c r="T119" s="5" t="str">
        <f t="shared" si="20"/>
        <v/>
      </c>
    </row>
    <row r="120" spans="1:20" x14ac:dyDescent="0.2">
      <c r="A120" s="11"/>
      <c r="B120" s="11">
        <v>1.1399999999999999</v>
      </c>
      <c r="C120" s="11"/>
      <c r="D120" s="11"/>
      <c r="E120" s="11"/>
      <c r="F120" s="11"/>
      <c r="G120" s="11"/>
      <c r="H120" s="11"/>
      <c r="I120" s="11"/>
      <c r="J120" s="11"/>
      <c r="K120" s="5" t="str">
        <f t="shared" si="11"/>
        <v/>
      </c>
      <c r="L120" s="5" t="str">
        <f t="shared" si="12"/>
        <v>114%</v>
      </c>
      <c r="M120" s="5" t="str">
        <f t="shared" si="13"/>
        <v/>
      </c>
      <c r="N120" s="5" t="str">
        <f t="shared" si="14"/>
        <v/>
      </c>
      <c r="O120" s="5" t="str">
        <f t="shared" si="15"/>
        <v/>
      </c>
      <c r="P120" s="5" t="str">
        <f t="shared" si="16"/>
        <v/>
      </c>
      <c r="Q120" s="5" t="str">
        <f t="shared" si="17"/>
        <v/>
      </c>
      <c r="R120" s="5" t="str">
        <f t="shared" si="18"/>
        <v/>
      </c>
      <c r="S120" s="5" t="str">
        <f t="shared" si="19"/>
        <v/>
      </c>
      <c r="T120" s="5" t="str">
        <f t="shared" si="20"/>
        <v/>
      </c>
    </row>
    <row r="121" spans="1:20" x14ac:dyDescent="0.2">
      <c r="A121" s="10"/>
      <c r="B121" s="10">
        <v>1.1399999999999999</v>
      </c>
      <c r="C121" s="10"/>
      <c r="D121" s="10"/>
      <c r="E121" s="10"/>
      <c r="F121" s="10"/>
      <c r="G121" s="10"/>
      <c r="H121" s="10"/>
      <c r="I121" s="10"/>
      <c r="J121" s="10"/>
      <c r="K121" s="5" t="str">
        <f t="shared" si="11"/>
        <v/>
      </c>
      <c r="L121" s="5" t="str">
        <f t="shared" si="12"/>
        <v>114%</v>
      </c>
      <c r="M121" s="5" t="str">
        <f t="shared" si="13"/>
        <v/>
      </c>
      <c r="N121" s="5" t="str">
        <f t="shared" si="14"/>
        <v/>
      </c>
      <c r="O121" s="5" t="str">
        <f t="shared" si="15"/>
        <v/>
      </c>
      <c r="P121" s="5" t="str">
        <f t="shared" si="16"/>
        <v/>
      </c>
      <c r="Q121" s="5" t="str">
        <f t="shared" si="17"/>
        <v/>
      </c>
      <c r="R121" s="5" t="str">
        <f t="shared" si="18"/>
        <v/>
      </c>
      <c r="S121" s="5" t="str">
        <f t="shared" si="19"/>
        <v/>
      </c>
      <c r="T121" s="5" t="str">
        <f t="shared" si="20"/>
        <v/>
      </c>
    </row>
    <row r="122" spans="1:20" x14ac:dyDescent="0.2">
      <c r="A122" s="11">
        <v>1.1399999999999999</v>
      </c>
      <c r="B122" s="11"/>
      <c r="C122" s="11"/>
      <c r="D122" s="11"/>
      <c r="E122" s="11"/>
      <c r="F122" s="11"/>
      <c r="G122" s="11"/>
      <c r="H122" s="11"/>
      <c r="I122" s="11"/>
      <c r="J122" s="11"/>
      <c r="K122" s="5" t="str">
        <f t="shared" si="11"/>
        <v>114%</v>
      </c>
      <c r="L122" s="5" t="str">
        <f t="shared" si="12"/>
        <v/>
      </c>
      <c r="M122" s="5" t="str">
        <f t="shared" si="13"/>
        <v/>
      </c>
      <c r="N122" s="5" t="str">
        <f t="shared" si="14"/>
        <v/>
      </c>
      <c r="O122" s="5" t="str">
        <f t="shared" si="15"/>
        <v/>
      </c>
      <c r="P122" s="5" t="str">
        <f t="shared" si="16"/>
        <v/>
      </c>
      <c r="Q122" s="5" t="str">
        <f t="shared" si="17"/>
        <v/>
      </c>
      <c r="R122" s="5" t="str">
        <f t="shared" si="18"/>
        <v/>
      </c>
      <c r="S122" s="5" t="str">
        <f t="shared" si="19"/>
        <v/>
      </c>
      <c r="T122" s="5" t="str">
        <f t="shared" si="20"/>
        <v/>
      </c>
    </row>
    <row r="123" spans="1:20" x14ac:dyDescent="0.2">
      <c r="A123" s="10"/>
      <c r="B123" s="10"/>
      <c r="C123" s="10"/>
      <c r="D123" s="10"/>
      <c r="E123" s="10">
        <v>0.56999999999999995</v>
      </c>
      <c r="F123" s="10">
        <v>0.56999999999999995</v>
      </c>
      <c r="G123" s="10"/>
      <c r="H123" s="10"/>
      <c r="I123" s="10">
        <v>0.39</v>
      </c>
      <c r="J123" s="10"/>
      <c r="K123" s="5" t="str">
        <f t="shared" si="11"/>
        <v/>
      </c>
      <c r="L123" s="5" t="str">
        <f t="shared" si="12"/>
        <v/>
      </c>
      <c r="M123" s="5" t="str">
        <f t="shared" si="13"/>
        <v/>
      </c>
      <c r="N123" s="5" t="str">
        <f t="shared" si="14"/>
        <v/>
      </c>
      <c r="O123" s="5" t="str">
        <f t="shared" si="15"/>
        <v>57%</v>
      </c>
      <c r="P123" s="5" t="str">
        <f t="shared" si="16"/>
        <v>57%</v>
      </c>
      <c r="Q123" s="5" t="str">
        <f t="shared" si="17"/>
        <v/>
      </c>
      <c r="R123" s="5" t="str">
        <f t="shared" si="18"/>
        <v/>
      </c>
      <c r="S123" s="5" t="str">
        <f t="shared" si="19"/>
        <v>39%</v>
      </c>
      <c r="T123" s="5" t="str">
        <f t="shared" si="20"/>
        <v/>
      </c>
    </row>
    <row r="124" spans="1:20" x14ac:dyDescent="0.2">
      <c r="A124" s="11"/>
      <c r="B124" s="11"/>
      <c r="C124" s="11">
        <v>0.56000000000000005</v>
      </c>
      <c r="D124" s="11">
        <v>0.56000000000000005</v>
      </c>
      <c r="E124" s="11"/>
      <c r="F124" s="11"/>
      <c r="G124" s="11">
        <v>0.28000000000000003</v>
      </c>
      <c r="H124" s="11">
        <v>0.28000000000000003</v>
      </c>
      <c r="I124" s="11"/>
      <c r="J124" s="11"/>
      <c r="K124" s="5" t="str">
        <f t="shared" si="11"/>
        <v/>
      </c>
      <c r="L124" s="5" t="str">
        <f t="shared" si="12"/>
        <v/>
      </c>
      <c r="M124" s="5" t="str">
        <f t="shared" si="13"/>
        <v>56%</v>
      </c>
      <c r="N124" s="5" t="str">
        <f t="shared" si="14"/>
        <v>56%</v>
      </c>
      <c r="O124" s="5" t="str">
        <f t="shared" si="15"/>
        <v/>
      </c>
      <c r="P124" s="5" t="str">
        <f t="shared" si="16"/>
        <v/>
      </c>
      <c r="Q124" s="5" t="str">
        <f t="shared" si="17"/>
        <v>28%</v>
      </c>
      <c r="R124" s="5" t="str">
        <f t="shared" si="18"/>
        <v>28%</v>
      </c>
      <c r="S124" s="5" t="str">
        <f t="shared" si="19"/>
        <v/>
      </c>
      <c r="T124" s="5" t="str">
        <f t="shared" si="20"/>
        <v/>
      </c>
    </row>
    <row r="125" spans="1:20" x14ac:dyDescent="0.2">
      <c r="A125" s="10"/>
      <c r="B125" s="10"/>
      <c r="C125" s="10">
        <v>0.56000000000000005</v>
      </c>
      <c r="D125" s="10">
        <v>0.56000000000000005</v>
      </c>
      <c r="E125" s="10"/>
      <c r="F125" s="10"/>
      <c r="G125" s="10">
        <v>0.28000000000000003</v>
      </c>
      <c r="H125" s="10">
        <v>0.28000000000000003</v>
      </c>
      <c r="I125" s="10"/>
      <c r="J125" s="10"/>
      <c r="K125" s="5" t="str">
        <f t="shared" si="11"/>
        <v/>
      </c>
      <c r="L125" s="5" t="str">
        <f t="shared" si="12"/>
        <v/>
      </c>
      <c r="M125" s="5" t="str">
        <f t="shared" si="13"/>
        <v>56%</v>
      </c>
      <c r="N125" s="5" t="str">
        <f t="shared" si="14"/>
        <v>56%</v>
      </c>
      <c r="O125" s="5" t="str">
        <f t="shared" si="15"/>
        <v/>
      </c>
      <c r="P125" s="5" t="str">
        <f t="shared" si="16"/>
        <v/>
      </c>
      <c r="Q125" s="5" t="str">
        <f t="shared" si="17"/>
        <v>28%</v>
      </c>
      <c r="R125" s="5" t="str">
        <f t="shared" si="18"/>
        <v>28%</v>
      </c>
      <c r="S125" s="5" t="str">
        <f t="shared" si="19"/>
        <v/>
      </c>
      <c r="T125" s="5" t="str">
        <f t="shared" si="20"/>
        <v/>
      </c>
    </row>
    <row r="126" spans="1:20" x14ac:dyDescent="0.2">
      <c r="A126" s="11"/>
      <c r="B126" s="11"/>
      <c r="C126" s="11"/>
      <c r="D126" s="11"/>
      <c r="E126" s="11"/>
      <c r="F126" s="11"/>
      <c r="G126" s="11"/>
      <c r="H126" s="11"/>
      <c r="I126" s="11">
        <v>0.39</v>
      </c>
      <c r="J126" s="11">
        <v>0.56000000000000005</v>
      </c>
      <c r="K126" s="5" t="str">
        <f t="shared" si="11"/>
        <v/>
      </c>
      <c r="L126" s="5" t="str">
        <f t="shared" si="12"/>
        <v/>
      </c>
      <c r="M126" s="5" t="str">
        <f t="shared" si="13"/>
        <v/>
      </c>
      <c r="N126" s="5" t="str">
        <f t="shared" si="14"/>
        <v/>
      </c>
      <c r="O126" s="5" t="str">
        <f t="shared" si="15"/>
        <v/>
      </c>
      <c r="P126" s="5" t="str">
        <f t="shared" si="16"/>
        <v/>
      </c>
      <c r="Q126" s="5" t="str">
        <f t="shared" si="17"/>
        <v/>
      </c>
      <c r="R126" s="5" t="str">
        <f t="shared" si="18"/>
        <v/>
      </c>
      <c r="S126" s="5" t="str">
        <f t="shared" si="19"/>
        <v>39%</v>
      </c>
      <c r="T126" s="5" t="str">
        <f t="shared" si="20"/>
        <v>56%</v>
      </c>
    </row>
    <row r="127" spans="1:20" x14ac:dyDescent="0.2">
      <c r="A127" s="10">
        <v>1.1399999999999999</v>
      </c>
      <c r="B127" s="10"/>
      <c r="C127" s="10"/>
      <c r="D127" s="10"/>
      <c r="E127" s="10"/>
      <c r="F127" s="10"/>
      <c r="G127" s="10"/>
      <c r="H127" s="10"/>
      <c r="I127" s="10"/>
      <c r="J127" s="10"/>
      <c r="K127" s="5" t="str">
        <f t="shared" si="11"/>
        <v>114%</v>
      </c>
      <c r="L127" s="5" t="str">
        <f t="shared" si="12"/>
        <v/>
      </c>
      <c r="M127" s="5" t="str">
        <f t="shared" si="13"/>
        <v/>
      </c>
      <c r="N127" s="5" t="str">
        <f t="shared" si="14"/>
        <v/>
      </c>
      <c r="O127" s="5" t="str">
        <f t="shared" si="15"/>
        <v/>
      </c>
      <c r="P127" s="5" t="str">
        <f t="shared" si="16"/>
        <v/>
      </c>
      <c r="Q127" s="5" t="str">
        <f t="shared" si="17"/>
        <v/>
      </c>
      <c r="R127" s="5" t="str">
        <f t="shared" si="18"/>
        <v/>
      </c>
      <c r="S127" s="5" t="str">
        <f t="shared" si="19"/>
        <v/>
      </c>
      <c r="T127" s="5" t="str">
        <f t="shared" si="20"/>
        <v/>
      </c>
    </row>
    <row r="128" spans="1:20" x14ac:dyDescent="0.2">
      <c r="A128" s="11"/>
      <c r="B128" s="11">
        <v>1.1399999999999999</v>
      </c>
      <c r="C128" s="11"/>
      <c r="D128" s="11"/>
      <c r="E128" s="11"/>
      <c r="F128" s="11"/>
      <c r="G128" s="11"/>
      <c r="H128" s="11"/>
      <c r="I128" s="11"/>
      <c r="J128" s="11"/>
      <c r="K128" s="5" t="str">
        <f t="shared" si="11"/>
        <v/>
      </c>
      <c r="L128" s="5" t="str">
        <f t="shared" si="12"/>
        <v>114%</v>
      </c>
      <c r="M128" s="5" t="str">
        <f t="shared" si="13"/>
        <v/>
      </c>
      <c r="N128" s="5" t="str">
        <f t="shared" si="14"/>
        <v/>
      </c>
      <c r="O128" s="5" t="str">
        <f t="shared" si="15"/>
        <v/>
      </c>
      <c r="P128" s="5" t="str">
        <f t="shared" si="16"/>
        <v/>
      </c>
      <c r="Q128" s="5" t="str">
        <f t="shared" si="17"/>
        <v/>
      </c>
      <c r="R128" s="5" t="str">
        <f t="shared" si="18"/>
        <v/>
      </c>
      <c r="S128" s="5" t="str">
        <f t="shared" si="19"/>
        <v/>
      </c>
      <c r="T128" s="5" t="str">
        <f t="shared" si="20"/>
        <v/>
      </c>
    </row>
    <row r="129" spans="1:20" x14ac:dyDescent="0.2">
      <c r="A129" s="10">
        <v>1.1399999999999999</v>
      </c>
      <c r="B129" s="10"/>
      <c r="C129" s="10"/>
      <c r="D129" s="10"/>
      <c r="E129" s="10"/>
      <c r="F129" s="10"/>
      <c r="G129" s="10"/>
      <c r="H129" s="10"/>
      <c r="I129" s="10"/>
      <c r="J129" s="10"/>
      <c r="K129" s="5" t="str">
        <f t="shared" si="11"/>
        <v>114%</v>
      </c>
      <c r="L129" s="5" t="str">
        <f t="shared" si="12"/>
        <v/>
      </c>
      <c r="M129" s="5" t="str">
        <f t="shared" si="13"/>
        <v/>
      </c>
      <c r="N129" s="5" t="str">
        <f t="shared" si="14"/>
        <v/>
      </c>
      <c r="O129" s="5" t="str">
        <f t="shared" si="15"/>
        <v/>
      </c>
      <c r="P129" s="5" t="str">
        <f t="shared" si="16"/>
        <v/>
      </c>
      <c r="Q129" s="5" t="str">
        <f t="shared" si="17"/>
        <v/>
      </c>
      <c r="R129" s="5" t="str">
        <f t="shared" si="18"/>
        <v/>
      </c>
      <c r="S129" s="5" t="str">
        <f t="shared" si="19"/>
        <v/>
      </c>
      <c r="T129" s="5" t="str">
        <f t="shared" si="20"/>
        <v/>
      </c>
    </row>
    <row r="130" spans="1:20" x14ac:dyDescent="0.2">
      <c r="A130" s="11"/>
      <c r="B130" s="11">
        <v>1.1399999999999999</v>
      </c>
      <c r="C130" s="11"/>
      <c r="D130" s="11"/>
      <c r="E130" s="11"/>
      <c r="F130" s="11"/>
      <c r="G130" s="11"/>
      <c r="H130" s="11"/>
      <c r="I130" s="11"/>
      <c r="J130" s="11"/>
      <c r="K130" s="5" t="str">
        <f t="shared" ref="K130:K142" si="21">IF(A130&lt;&gt;"",TEXT(A130,"0%"),"")</f>
        <v/>
      </c>
      <c r="L130" s="5" t="str">
        <f t="shared" ref="L130:L142" si="22">IF(B130&lt;&gt;"",TEXT(B130,"0%"),"")</f>
        <v>114%</v>
      </c>
      <c r="M130" s="5" t="str">
        <f t="shared" ref="M130:M142" si="23">IF(C130&lt;&gt;"",TEXT(C130,"0%"),"")</f>
        <v/>
      </c>
      <c r="N130" s="5" t="str">
        <f t="shared" ref="N130:N142" si="24">IF(D130&lt;&gt;"",TEXT(D130,"0%"),"")</f>
        <v/>
      </c>
      <c r="O130" s="5" t="str">
        <f t="shared" ref="O130:O142" si="25">IF(E130&lt;&gt;"",TEXT(E130,"0%"),"")</f>
        <v/>
      </c>
      <c r="P130" s="5" t="str">
        <f t="shared" ref="P130:P142" si="26">IF(F130&lt;&gt;"",TEXT(F130,"0%"),"")</f>
        <v/>
      </c>
      <c r="Q130" s="5" t="str">
        <f t="shared" ref="Q130:Q142" si="27">IF(G130&lt;&gt;"",TEXT(G130,"0%"),"")</f>
        <v/>
      </c>
      <c r="R130" s="5" t="str">
        <f t="shared" ref="R130:R142" si="28">IF(H130&lt;&gt;"",TEXT(H130,"0%"),"")</f>
        <v/>
      </c>
      <c r="S130" s="5" t="str">
        <f t="shared" ref="S130:S142" si="29">IF(I130&lt;&gt;"",TEXT(I130,"0%"),"")</f>
        <v/>
      </c>
      <c r="T130" s="5" t="str">
        <f t="shared" ref="T130:T142" si="30">IF(J130&lt;&gt;"",TEXT(J130,"0%"),"")</f>
        <v/>
      </c>
    </row>
    <row r="131" spans="1:20" x14ac:dyDescent="0.2">
      <c r="A131" s="10"/>
      <c r="B131" s="10"/>
      <c r="C131" s="10"/>
      <c r="D131" s="10"/>
      <c r="E131" s="10">
        <v>0.56999999999999995</v>
      </c>
      <c r="F131" s="10">
        <v>0.56999999999999995</v>
      </c>
      <c r="G131" s="10"/>
      <c r="H131" s="10"/>
      <c r="I131" s="10">
        <v>0.39</v>
      </c>
      <c r="J131" s="10"/>
      <c r="K131" s="5" t="str">
        <f t="shared" si="21"/>
        <v/>
      </c>
      <c r="L131" s="5" t="str">
        <f t="shared" si="22"/>
        <v/>
      </c>
      <c r="M131" s="5" t="str">
        <f t="shared" si="23"/>
        <v/>
      </c>
      <c r="N131" s="5" t="str">
        <f t="shared" si="24"/>
        <v/>
      </c>
      <c r="O131" s="5" t="str">
        <f t="shared" si="25"/>
        <v>57%</v>
      </c>
      <c r="P131" s="5" t="str">
        <f t="shared" si="26"/>
        <v>57%</v>
      </c>
      <c r="Q131" s="5" t="str">
        <f t="shared" si="27"/>
        <v/>
      </c>
      <c r="R131" s="5" t="str">
        <f t="shared" si="28"/>
        <v/>
      </c>
      <c r="S131" s="5" t="str">
        <f t="shared" si="29"/>
        <v>39%</v>
      </c>
      <c r="T131" s="5" t="str">
        <f t="shared" si="30"/>
        <v/>
      </c>
    </row>
    <row r="132" spans="1:20" x14ac:dyDescent="0.2">
      <c r="A132" s="11"/>
      <c r="B132" s="11"/>
      <c r="C132" s="11">
        <v>0.56000000000000005</v>
      </c>
      <c r="D132" s="11">
        <v>0.56000000000000005</v>
      </c>
      <c r="E132" s="11"/>
      <c r="F132" s="11"/>
      <c r="G132" s="11">
        <v>0.28000000000000003</v>
      </c>
      <c r="H132" s="11">
        <v>0.28000000000000003</v>
      </c>
      <c r="I132" s="11"/>
      <c r="J132" s="11"/>
      <c r="K132" s="5" t="str">
        <f t="shared" si="21"/>
        <v/>
      </c>
      <c r="L132" s="5" t="str">
        <f t="shared" si="22"/>
        <v/>
      </c>
      <c r="M132" s="5" t="str">
        <f t="shared" si="23"/>
        <v>56%</v>
      </c>
      <c r="N132" s="5" t="str">
        <f t="shared" si="24"/>
        <v>56%</v>
      </c>
      <c r="O132" s="5" t="str">
        <f t="shared" si="25"/>
        <v/>
      </c>
      <c r="P132" s="5" t="str">
        <f t="shared" si="26"/>
        <v/>
      </c>
      <c r="Q132" s="5" t="str">
        <f t="shared" si="27"/>
        <v>28%</v>
      </c>
      <c r="R132" s="5" t="str">
        <f t="shared" si="28"/>
        <v>28%</v>
      </c>
      <c r="S132" s="5" t="str">
        <f t="shared" si="29"/>
        <v/>
      </c>
      <c r="T132" s="5" t="str">
        <f t="shared" si="30"/>
        <v/>
      </c>
    </row>
    <row r="133" spans="1:20" x14ac:dyDescent="0.2">
      <c r="A133" s="10"/>
      <c r="B133" s="10"/>
      <c r="C133" s="10">
        <v>0.56000000000000005</v>
      </c>
      <c r="D133" s="10">
        <v>0.56000000000000005</v>
      </c>
      <c r="E133" s="10"/>
      <c r="F133" s="10"/>
      <c r="G133" s="10">
        <v>0.28000000000000003</v>
      </c>
      <c r="H133" s="10">
        <v>0.28000000000000003</v>
      </c>
      <c r="I133" s="10"/>
      <c r="J133" s="10"/>
      <c r="K133" s="5" t="str">
        <f t="shared" si="21"/>
        <v/>
      </c>
      <c r="L133" s="5" t="str">
        <f t="shared" si="22"/>
        <v/>
      </c>
      <c r="M133" s="5" t="str">
        <f t="shared" si="23"/>
        <v>56%</v>
      </c>
      <c r="N133" s="5" t="str">
        <f t="shared" si="24"/>
        <v>56%</v>
      </c>
      <c r="O133" s="5" t="str">
        <f t="shared" si="25"/>
        <v/>
      </c>
      <c r="P133" s="5" t="str">
        <f t="shared" si="26"/>
        <v/>
      </c>
      <c r="Q133" s="5" t="str">
        <f t="shared" si="27"/>
        <v>28%</v>
      </c>
      <c r="R133" s="5" t="str">
        <f t="shared" si="28"/>
        <v>28%</v>
      </c>
      <c r="S133" s="5" t="str">
        <f t="shared" si="29"/>
        <v/>
      </c>
      <c r="T133" s="5" t="str">
        <f t="shared" si="30"/>
        <v/>
      </c>
    </row>
    <row r="134" spans="1:20" x14ac:dyDescent="0.2">
      <c r="A134" s="11"/>
      <c r="B134" s="11"/>
      <c r="C134" s="11"/>
      <c r="D134" s="11"/>
      <c r="E134" s="11"/>
      <c r="F134" s="11"/>
      <c r="G134" s="11"/>
      <c r="H134" s="11"/>
      <c r="I134" s="11">
        <v>0.39</v>
      </c>
      <c r="J134" s="11">
        <v>0.56000000000000005</v>
      </c>
      <c r="K134" s="5" t="str">
        <f t="shared" si="21"/>
        <v/>
      </c>
      <c r="L134" s="5" t="str">
        <f t="shared" si="22"/>
        <v/>
      </c>
      <c r="M134" s="5" t="str">
        <f t="shared" si="23"/>
        <v/>
      </c>
      <c r="N134" s="5" t="str">
        <f t="shared" si="24"/>
        <v/>
      </c>
      <c r="O134" s="5" t="str">
        <f t="shared" si="25"/>
        <v/>
      </c>
      <c r="P134" s="5" t="str">
        <f t="shared" si="26"/>
        <v/>
      </c>
      <c r="Q134" s="5" t="str">
        <f t="shared" si="27"/>
        <v/>
      </c>
      <c r="R134" s="5" t="str">
        <f t="shared" si="28"/>
        <v/>
      </c>
      <c r="S134" s="5" t="str">
        <f t="shared" si="29"/>
        <v>39%</v>
      </c>
      <c r="T134" s="5" t="str">
        <f t="shared" si="30"/>
        <v>56%</v>
      </c>
    </row>
    <row r="135" spans="1:20" x14ac:dyDescent="0.2">
      <c r="A135" s="10">
        <v>1.25</v>
      </c>
      <c r="B135" s="10"/>
      <c r="C135" s="10"/>
      <c r="D135" s="10"/>
      <c r="E135" s="10"/>
      <c r="F135" s="10"/>
      <c r="G135" s="10"/>
      <c r="H135" s="10"/>
      <c r="I135" s="10"/>
      <c r="J135" s="10"/>
      <c r="K135" s="5" t="str">
        <f t="shared" si="21"/>
        <v>125%</v>
      </c>
      <c r="L135" s="5" t="str">
        <f t="shared" si="22"/>
        <v/>
      </c>
      <c r="M135" s="5" t="str">
        <f t="shared" si="23"/>
        <v/>
      </c>
      <c r="N135" s="5" t="str">
        <f t="shared" si="24"/>
        <v/>
      </c>
      <c r="O135" s="5" t="str">
        <f t="shared" si="25"/>
        <v/>
      </c>
      <c r="P135" s="5" t="str">
        <f t="shared" si="26"/>
        <v/>
      </c>
      <c r="Q135" s="5" t="str">
        <f t="shared" si="27"/>
        <v/>
      </c>
      <c r="R135" s="5" t="str">
        <f t="shared" si="28"/>
        <v/>
      </c>
      <c r="S135" s="5" t="str">
        <f t="shared" si="29"/>
        <v/>
      </c>
      <c r="T135" s="5" t="str">
        <f t="shared" si="30"/>
        <v/>
      </c>
    </row>
    <row r="136" spans="1:20" x14ac:dyDescent="0.2">
      <c r="A136" s="11"/>
      <c r="B136" s="11">
        <v>1.25</v>
      </c>
      <c r="C136" s="11"/>
      <c r="D136" s="11"/>
      <c r="E136" s="11"/>
      <c r="F136" s="11"/>
      <c r="G136" s="11"/>
      <c r="H136" s="11"/>
      <c r="I136" s="11"/>
      <c r="J136" s="11"/>
      <c r="K136" s="5" t="str">
        <f t="shared" si="21"/>
        <v/>
      </c>
      <c r="L136" s="5" t="str">
        <f t="shared" si="22"/>
        <v>125%</v>
      </c>
      <c r="M136" s="5" t="str">
        <f t="shared" si="23"/>
        <v/>
      </c>
      <c r="N136" s="5" t="str">
        <f t="shared" si="24"/>
        <v/>
      </c>
      <c r="O136" s="5" t="str">
        <f t="shared" si="25"/>
        <v/>
      </c>
      <c r="P136" s="5" t="str">
        <f t="shared" si="26"/>
        <v/>
      </c>
      <c r="Q136" s="5" t="str">
        <f t="shared" si="27"/>
        <v/>
      </c>
      <c r="R136" s="5" t="str">
        <f t="shared" si="28"/>
        <v/>
      </c>
      <c r="S136" s="5" t="str">
        <f t="shared" si="29"/>
        <v/>
      </c>
      <c r="T136" s="5" t="str">
        <f t="shared" si="30"/>
        <v/>
      </c>
    </row>
    <row r="137" spans="1:20" x14ac:dyDescent="0.2">
      <c r="A137" s="10">
        <v>1.25</v>
      </c>
      <c r="B137" s="10"/>
      <c r="C137" s="10"/>
      <c r="D137" s="10"/>
      <c r="E137" s="10"/>
      <c r="F137" s="10"/>
      <c r="G137" s="10"/>
      <c r="H137" s="10"/>
      <c r="I137" s="10"/>
      <c r="J137" s="10"/>
      <c r="K137" s="5" t="str">
        <f t="shared" si="21"/>
        <v>125%</v>
      </c>
      <c r="L137" s="5" t="str">
        <f t="shared" si="22"/>
        <v/>
      </c>
      <c r="M137" s="5" t="str">
        <f t="shared" si="23"/>
        <v/>
      </c>
      <c r="N137" s="5" t="str">
        <f t="shared" si="24"/>
        <v/>
      </c>
      <c r="O137" s="5" t="str">
        <f t="shared" si="25"/>
        <v/>
      </c>
      <c r="P137" s="5" t="str">
        <f t="shared" si="26"/>
        <v/>
      </c>
      <c r="Q137" s="5" t="str">
        <f t="shared" si="27"/>
        <v/>
      </c>
      <c r="R137" s="5" t="str">
        <f t="shared" si="28"/>
        <v/>
      </c>
      <c r="S137" s="5" t="str">
        <f t="shared" si="29"/>
        <v/>
      </c>
      <c r="T137" s="5" t="str">
        <f t="shared" si="30"/>
        <v/>
      </c>
    </row>
    <row r="138" spans="1:20" x14ac:dyDescent="0.2">
      <c r="A138" s="11"/>
      <c r="B138" s="11">
        <v>1.25</v>
      </c>
      <c r="C138" s="11"/>
      <c r="D138" s="11"/>
      <c r="E138" s="11"/>
      <c r="F138" s="11"/>
      <c r="G138" s="11"/>
      <c r="H138" s="11"/>
      <c r="I138" s="11"/>
      <c r="J138" s="11"/>
      <c r="K138" s="5" t="str">
        <f t="shared" si="21"/>
        <v/>
      </c>
      <c r="L138" s="5" t="str">
        <f t="shared" si="22"/>
        <v>125%</v>
      </c>
      <c r="M138" s="5" t="str">
        <f t="shared" si="23"/>
        <v/>
      </c>
      <c r="N138" s="5" t="str">
        <f t="shared" si="24"/>
        <v/>
      </c>
      <c r="O138" s="5" t="str">
        <f t="shared" si="25"/>
        <v/>
      </c>
      <c r="P138" s="5" t="str">
        <f t="shared" si="26"/>
        <v/>
      </c>
      <c r="Q138" s="5" t="str">
        <f t="shared" si="27"/>
        <v/>
      </c>
      <c r="R138" s="5" t="str">
        <f t="shared" si="28"/>
        <v/>
      </c>
      <c r="S138" s="5" t="str">
        <f t="shared" si="29"/>
        <v/>
      </c>
      <c r="T138" s="5" t="str">
        <f t="shared" si="30"/>
        <v/>
      </c>
    </row>
    <row r="139" spans="1:20" x14ac:dyDescent="0.2">
      <c r="A139" s="10"/>
      <c r="B139" s="10"/>
      <c r="C139" s="10"/>
      <c r="D139" s="10"/>
      <c r="E139" s="10">
        <v>0.62</v>
      </c>
      <c r="F139" s="10">
        <v>0.62</v>
      </c>
      <c r="G139" s="10"/>
      <c r="H139" s="10"/>
      <c r="I139" s="10">
        <v>0.43</v>
      </c>
      <c r="J139" s="10"/>
      <c r="K139" s="5" t="str">
        <f t="shared" si="21"/>
        <v/>
      </c>
      <c r="L139" s="5" t="str">
        <f t="shared" si="22"/>
        <v/>
      </c>
      <c r="M139" s="5" t="str">
        <f t="shared" si="23"/>
        <v/>
      </c>
      <c r="N139" s="5" t="str">
        <f t="shared" si="24"/>
        <v/>
      </c>
      <c r="O139" s="5" t="str">
        <f t="shared" si="25"/>
        <v>62%</v>
      </c>
      <c r="P139" s="5" t="str">
        <f t="shared" si="26"/>
        <v>62%</v>
      </c>
      <c r="Q139" s="5" t="str">
        <f t="shared" si="27"/>
        <v/>
      </c>
      <c r="R139" s="5" t="str">
        <f t="shared" si="28"/>
        <v/>
      </c>
      <c r="S139" s="5" t="str">
        <f t="shared" si="29"/>
        <v>43%</v>
      </c>
      <c r="T139" s="5" t="str">
        <f t="shared" si="30"/>
        <v/>
      </c>
    </row>
    <row r="140" spans="1:20" x14ac:dyDescent="0.2">
      <c r="A140" s="11"/>
      <c r="B140" s="11"/>
      <c r="C140" s="11">
        <v>0.61</v>
      </c>
      <c r="D140" s="11">
        <v>0.61</v>
      </c>
      <c r="E140" s="11"/>
      <c r="F140" s="11"/>
      <c r="G140" s="11">
        <v>0.31</v>
      </c>
      <c r="H140" s="11">
        <v>0.31</v>
      </c>
      <c r="I140" s="11"/>
      <c r="J140" s="11"/>
      <c r="K140" s="5" t="str">
        <f t="shared" si="21"/>
        <v/>
      </c>
      <c r="L140" s="5" t="str">
        <f t="shared" si="22"/>
        <v/>
      </c>
      <c r="M140" s="5" t="str">
        <f t="shared" si="23"/>
        <v>61%</v>
      </c>
      <c r="N140" s="5" t="str">
        <f t="shared" si="24"/>
        <v>61%</v>
      </c>
      <c r="O140" s="5" t="str">
        <f t="shared" si="25"/>
        <v/>
      </c>
      <c r="P140" s="5" t="str">
        <f t="shared" si="26"/>
        <v/>
      </c>
      <c r="Q140" s="5" t="str">
        <f t="shared" si="27"/>
        <v>31%</v>
      </c>
      <c r="R140" s="5" t="str">
        <f t="shared" si="28"/>
        <v>31%</v>
      </c>
      <c r="S140" s="5" t="str">
        <f t="shared" si="29"/>
        <v/>
      </c>
      <c r="T140" s="5" t="str">
        <f t="shared" si="30"/>
        <v/>
      </c>
    </row>
    <row r="141" spans="1:20" x14ac:dyDescent="0.2">
      <c r="A141" s="10"/>
      <c r="B141" s="10"/>
      <c r="C141" s="10">
        <v>0.61</v>
      </c>
      <c r="D141" s="10">
        <v>0.61</v>
      </c>
      <c r="E141" s="10"/>
      <c r="F141" s="10"/>
      <c r="G141" s="10">
        <v>0.31</v>
      </c>
      <c r="H141" s="10">
        <v>0.31</v>
      </c>
      <c r="I141" s="10"/>
      <c r="J141" s="10"/>
      <c r="K141" s="5" t="str">
        <f t="shared" si="21"/>
        <v/>
      </c>
      <c r="L141" s="5" t="str">
        <f t="shared" si="22"/>
        <v/>
      </c>
      <c r="M141" s="5" t="str">
        <f t="shared" si="23"/>
        <v>61%</v>
      </c>
      <c r="N141" s="5" t="str">
        <f t="shared" si="24"/>
        <v>61%</v>
      </c>
      <c r="O141" s="5" t="str">
        <f t="shared" si="25"/>
        <v/>
      </c>
      <c r="P141" s="5" t="str">
        <f t="shared" si="26"/>
        <v/>
      </c>
      <c r="Q141" s="5" t="str">
        <f t="shared" si="27"/>
        <v>31%</v>
      </c>
      <c r="R141" s="5" t="str">
        <f t="shared" si="28"/>
        <v>31%</v>
      </c>
      <c r="S141" s="5" t="str">
        <f t="shared" si="29"/>
        <v/>
      </c>
      <c r="T141" s="5" t="str">
        <f t="shared" si="30"/>
        <v/>
      </c>
    </row>
    <row r="142" spans="1:20" x14ac:dyDescent="0.2">
      <c r="A142" s="11"/>
      <c r="B142" s="11"/>
      <c r="C142" s="11"/>
      <c r="D142" s="11"/>
      <c r="E142" s="11"/>
      <c r="F142" s="11"/>
      <c r="G142" s="11"/>
      <c r="H142" s="11"/>
      <c r="I142" s="11">
        <v>0.43</v>
      </c>
      <c r="J142" s="11">
        <v>0.61</v>
      </c>
      <c r="K142" s="5" t="str">
        <f t="shared" si="21"/>
        <v/>
      </c>
      <c r="L142" s="5" t="str">
        <f t="shared" si="22"/>
        <v/>
      </c>
      <c r="M142" s="5" t="str">
        <f t="shared" si="23"/>
        <v/>
      </c>
      <c r="N142" s="5" t="str">
        <f t="shared" si="24"/>
        <v/>
      </c>
      <c r="O142" s="5" t="str">
        <f t="shared" si="25"/>
        <v/>
      </c>
      <c r="P142" s="5" t="str">
        <f t="shared" si="26"/>
        <v/>
      </c>
      <c r="Q142" s="5" t="str">
        <f t="shared" si="27"/>
        <v/>
      </c>
      <c r="R142" s="5" t="str">
        <f t="shared" si="28"/>
        <v/>
      </c>
      <c r="S142" s="5" t="str">
        <f t="shared" si="29"/>
        <v>43%</v>
      </c>
      <c r="T142" s="5" t="str">
        <f t="shared" si="30"/>
        <v>61%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导出</vt:lpstr>
      <vt:lpstr>原胚编辑表</vt:lpstr>
      <vt:lpstr>EmbryoConfig</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Neko喵丁丁</dc:creator>
  <cp:lastModifiedBy>雪叆 琴</cp:lastModifiedBy>
  <dcterms:created xsi:type="dcterms:W3CDTF">2015-06-05T18:19:34Z</dcterms:created>
  <dcterms:modified xsi:type="dcterms:W3CDTF">2024-03-10T15:51:03Z</dcterms:modified>
</cp:coreProperties>
</file>