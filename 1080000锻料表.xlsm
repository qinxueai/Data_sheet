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mc:AlternateContent xmlns:mc="http://schemas.openxmlformats.org/markup-compatibility/2006">
    <mc:Choice Requires="x15">
      <x15ac:absPath xmlns:x15ac="http://schemas.microsoft.com/office/spreadsheetml/2010/11/ac" url="H:\fantasyrealm\文案\绘境\"/>
    </mc:Choice>
  </mc:AlternateContent>
  <xr:revisionPtr revIDLastSave="0" documentId="13_ncr:1_{9BF7B353-C5B7-428A-A4B2-1720FE5AD91E}" xr6:coauthVersionLast="47" xr6:coauthVersionMax="47" xr10:uidLastSave="{00000000-0000-0000-0000-000000000000}"/>
  <bookViews>
    <workbookView xWindow="-120" yWindow="-120" windowWidth="29040" windowHeight="15720" activeTab="2" xr2:uid="{00000000-000D-0000-FFFF-FFFF00000000}"/>
  </bookViews>
  <sheets>
    <sheet name="导出" sheetId="2" r:id="rId1"/>
    <sheet name="锻材编辑表" sheetId="1" r:id="rId2"/>
    <sheet name="ForgeConfig" sheetId="3" r:id="rId3"/>
    <sheet name="原始数据" sheetId="6" r:id="rId4"/>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L122" i="1" l="1"/>
  <c r="AM122" i="1"/>
  <c r="AN122" i="1"/>
  <c r="AO122" i="1"/>
  <c r="AS122" i="1"/>
  <c r="AR122" i="1"/>
  <c r="AQ122" i="1"/>
  <c r="AS121" i="1"/>
  <c r="AR121" i="1"/>
  <c r="AQ121" i="1"/>
  <c r="AS110" i="1"/>
  <c r="AR110" i="1"/>
  <c r="AQ110" i="1"/>
  <c r="AS109" i="1"/>
  <c r="AR109" i="1"/>
  <c r="AQ109" i="1"/>
  <c r="AS98" i="1"/>
  <c r="AR98" i="1"/>
  <c r="AQ98" i="1"/>
  <c r="AS97" i="1"/>
  <c r="AR97" i="1"/>
  <c r="AQ97" i="1"/>
  <c r="AS86" i="1"/>
  <c r="AR86" i="1"/>
  <c r="AQ86" i="1"/>
  <c r="AS85" i="1"/>
  <c r="AR85" i="1"/>
  <c r="AQ85" i="1"/>
  <c r="AP122" i="1"/>
  <c r="AP121" i="1"/>
  <c r="AP110" i="1"/>
  <c r="AP109" i="1"/>
  <c r="AP97" i="1"/>
  <c r="AP98" i="1"/>
  <c r="AP86" i="1"/>
  <c r="AP85" i="1"/>
  <c r="AU122" i="1"/>
  <c r="AU121" i="1"/>
  <c r="AU110" i="1"/>
  <c r="AU109" i="1"/>
  <c r="AU98" i="1"/>
  <c r="AU97" i="1"/>
  <c r="AU86" i="1"/>
  <c r="AU85" i="1"/>
  <c r="AT122" i="1"/>
  <c r="AT110" i="1"/>
  <c r="AT121" i="1"/>
  <c r="AT109" i="1"/>
  <c r="AT98" i="1"/>
  <c r="AT97" i="1"/>
  <c r="AT86" i="1"/>
  <c r="AT85" i="1"/>
  <c r="AO121" i="1"/>
  <c r="AN121" i="1"/>
  <c r="AM121" i="1"/>
  <c r="AO110" i="1"/>
  <c r="AN110" i="1"/>
  <c r="AM110" i="1"/>
  <c r="AO109" i="1"/>
  <c r="AN109" i="1"/>
  <c r="AM109" i="1"/>
  <c r="AO98" i="1"/>
  <c r="AN98" i="1"/>
  <c r="AM98" i="1"/>
  <c r="AO97" i="1"/>
  <c r="AN97" i="1"/>
  <c r="AM97" i="1"/>
  <c r="AO86" i="1"/>
  <c r="AN86" i="1"/>
  <c r="AM86" i="1"/>
  <c r="AO85" i="1"/>
  <c r="AN85" i="1"/>
  <c r="AM85" i="1"/>
  <c r="AL110" i="1"/>
  <c r="AL121" i="1"/>
  <c r="AL109" i="1"/>
  <c r="AL98" i="1"/>
  <c r="AL97" i="1"/>
  <c r="AL86" i="1"/>
  <c r="AL85" i="1"/>
  <c r="AU7" i="1"/>
  <c r="AU8" i="1"/>
  <c r="AU9" i="1"/>
  <c r="AU10" i="1"/>
  <c r="AU11" i="1"/>
  <c r="AU12" i="1"/>
  <c r="AU13" i="1"/>
  <c r="AU14" i="1"/>
  <c r="AU15" i="1"/>
  <c r="AU16" i="1"/>
  <c r="AT7" i="1"/>
  <c r="AT8" i="1"/>
  <c r="AT9" i="1"/>
  <c r="AT10" i="1"/>
  <c r="AT11" i="1"/>
  <c r="AT12" i="1"/>
  <c r="AT13" i="1"/>
  <c r="AT14" i="1"/>
  <c r="AT15" i="1"/>
  <c r="AT16" i="1"/>
  <c r="AR7" i="1"/>
  <c r="AR8" i="1"/>
  <c r="AR9" i="1"/>
  <c r="AR10" i="1"/>
  <c r="AR11" i="1"/>
  <c r="AR12" i="1"/>
  <c r="AR13" i="1"/>
  <c r="AR14" i="1"/>
  <c r="AR15" i="1"/>
  <c r="AR16" i="1"/>
  <c r="AS7" i="1"/>
  <c r="AS8" i="1"/>
  <c r="AS9" i="1"/>
  <c r="AS10" i="1"/>
  <c r="AS11" i="1"/>
  <c r="AS12" i="1"/>
  <c r="AS13" i="1"/>
  <c r="AS14" i="1"/>
  <c r="AS15" i="1"/>
  <c r="AS16" i="1"/>
  <c r="AQ16" i="1"/>
  <c r="AP16" i="1"/>
  <c r="AQ15" i="1"/>
  <c r="AP15" i="1"/>
  <c r="AQ14" i="1"/>
  <c r="AP14" i="1"/>
  <c r="AQ13" i="1"/>
  <c r="AP13" i="1"/>
  <c r="AQ12" i="1"/>
  <c r="AP12" i="1"/>
  <c r="AQ11" i="1"/>
  <c r="AP11" i="1"/>
  <c r="AQ10" i="1"/>
  <c r="AP10" i="1"/>
  <c r="AQ9" i="1"/>
  <c r="AP9" i="1"/>
  <c r="AQ8" i="1"/>
  <c r="AP8" i="1"/>
  <c r="AQ7" i="1"/>
  <c r="AP7" i="1"/>
  <c r="AN7" i="1"/>
  <c r="AN8" i="1"/>
  <c r="AN9" i="1"/>
  <c r="AN10" i="1"/>
  <c r="AN11" i="1"/>
  <c r="AN12" i="1"/>
  <c r="AN13" i="1"/>
  <c r="AN14" i="1"/>
  <c r="AN15" i="1"/>
  <c r="AN16" i="1"/>
  <c r="AO7" i="1"/>
  <c r="AO8" i="1"/>
  <c r="AO9" i="1"/>
  <c r="AO10" i="1"/>
  <c r="AO11" i="1"/>
  <c r="AO12" i="1"/>
  <c r="AO13" i="1"/>
  <c r="AO14" i="1"/>
  <c r="AO15" i="1"/>
  <c r="AO16" i="1"/>
  <c r="AL7" i="1"/>
  <c r="AL8" i="1"/>
  <c r="AL9" i="1"/>
  <c r="AL10" i="1"/>
  <c r="AL11" i="1"/>
  <c r="AL12" i="1"/>
  <c r="AL13" i="1"/>
  <c r="AL14" i="1"/>
  <c r="AL15" i="1"/>
  <c r="AL16" i="1"/>
  <c r="AM7" i="1"/>
  <c r="AM8" i="1"/>
  <c r="AM9" i="1"/>
  <c r="AM10" i="1"/>
  <c r="AM11" i="1"/>
  <c r="AM12" i="1"/>
  <c r="AM13" i="1"/>
  <c r="AM14" i="1"/>
  <c r="AM15" i="1"/>
  <c r="AM16" i="1"/>
  <c r="AC128" i="1"/>
  <c r="AB128" i="1"/>
  <c r="AC91" i="1"/>
  <c r="AB91" i="1"/>
  <c r="AC90" i="1"/>
  <c r="AB90" i="1"/>
  <c r="AC89" i="1"/>
  <c r="AB89" i="1"/>
  <c r="AC88" i="1"/>
  <c r="AB88" i="1"/>
  <c r="AC87" i="1"/>
  <c r="AB87" i="1"/>
  <c r="V128" i="1"/>
  <c r="U128" i="1"/>
  <c r="V103" i="1"/>
  <c r="U103" i="1"/>
  <c r="V102" i="1"/>
  <c r="U102" i="1"/>
  <c r="V101" i="1"/>
  <c r="U101" i="1"/>
  <c r="V100" i="1"/>
  <c r="U100" i="1"/>
  <c r="V99" i="1"/>
  <c r="U99" i="1"/>
  <c r="V91" i="1"/>
  <c r="U91" i="1"/>
  <c r="V90" i="1"/>
  <c r="U90" i="1"/>
  <c r="V89" i="1"/>
  <c r="U89" i="1"/>
  <c r="V88" i="1"/>
  <c r="U88" i="1"/>
  <c r="U87" i="1"/>
  <c r="V87" i="1"/>
  <c r="V52" i="1"/>
  <c r="U52" i="1"/>
  <c r="V49" i="1"/>
  <c r="U49" i="1"/>
  <c r="V46" i="1"/>
  <c r="U46" i="1"/>
  <c r="V43" i="1"/>
  <c r="U43" i="1"/>
  <c r="V40" i="1"/>
  <c r="U40" i="1"/>
  <c r="V37" i="1"/>
  <c r="U37" i="1"/>
  <c r="V34" i="1"/>
  <c r="U34" i="1"/>
  <c r="V30" i="1"/>
  <c r="U30" i="1"/>
  <c r="V28" i="1"/>
  <c r="U28" i="1"/>
  <c r="V27" i="1"/>
  <c r="U27" i="1"/>
  <c r="V25" i="1"/>
  <c r="U25" i="1"/>
  <c r="V23" i="1"/>
  <c r="U23" i="1"/>
  <c r="V21" i="1"/>
  <c r="U21" i="1"/>
  <c r="V19" i="1"/>
  <c r="U19" i="1"/>
  <c r="T19" i="1"/>
  <c r="T21" i="1"/>
  <c r="T23" i="1"/>
  <c r="T25" i="1"/>
  <c r="T27" i="1"/>
  <c r="T28" i="1"/>
  <c r="T30" i="1"/>
  <c r="U17" i="1"/>
  <c r="V17" i="1"/>
  <c r="K20" i="6"/>
  <c r="L20" i="6"/>
  <c r="M20" i="6"/>
  <c r="N20" i="6"/>
  <c r="O20" i="6"/>
  <c r="P20" i="6"/>
  <c r="Q20" i="6"/>
  <c r="L19" i="6"/>
  <c r="M19" i="6"/>
  <c r="N19" i="6"/>
  <c r="O19" i="6"/>
  <c r="P19" i="6"/>
  <c r="Q19" i="6"/>
  <c r="K19" i="6"/>
  <c r="R128" i="1"/>
  <c r="Q128" i="1"/>
  <c r="L128" i="1"/>
  <c r="K128" i="1"/>
  <c r="AB103" i="1"/>
  <c r="AB102" i="1"/>
  <c r="AB101" i="1"/>
  <c r="AB100" i="1"/>
  <c r="AB99" i="1"/>
  <c r="R91" i="1"/>
  <c r="Q91" i="1"/>
  <c r="L91" i="1"/>
  <c r="K91" i="1"/>
  <c r="R90" i="1"/>
  <c r="Q90" i="1"/>
  <c r="L90" i="1"/>
  <c r="K90" i="1"/>
  <c r="R89" i="1"/>
  <c r="Q89" i="1"/>
  <c r="L89" i="1"/>
  <c r="K89" i="1"/>
  <c r="R88" i="1"/>
  <c r="Q88" i="1"/>
  <c r="L88" i="1"/>
  <c r="K88" i="1"/>
  <c r="R87" i="1"/>
  <c r="Q87" i="1"/>
  <c r="L87" i="1"/>
  <c r="K87" i="1"/>
  <c r="AB52" i="1"/>
  <c r="AB49" i="1"/>
  <c r="AB46" i="1"/>
  <c r="AB43" i="1"/>
  <c r="AB40" i="1"/>
  <c r="AB37" i="1"/>
  <c r="AB34" i="1"/>
  <c r="AB30" i="1"/>
  <c r="R30" i="1"/>
  <c r="Q30" i="1"/>
  <c r="L30" i="1"/>
  <c r="K30" i="1"/>
  <c r="AB28" i="1"/>
  <c r="R28" i="1"/>
  <c r="Q28" i="1"/>
  <c r="L28" i="1"/>
  <c r="K28" i="1"/>
  <c r="AB27" i="1"/>
  <c r="R27" i="1"/>
  <c r="Q27" i="1"/>
  <c r="L27" i="1"/>
  <c r="K27" i="1"/>
  <c r="AB25" i="1"/>
  <c r="R25" i="1"/>
  <c r="Q25" i="1"/>
  <c r="L25" i="1"/>
  <c r="K25" i="1"/>
  <c r="AB23" i="1"/>
  <c r="R23" i="1"/>
  <c r="Q23" i="1"/>
  <c r="L23" i="1"/>
  <c r="K23" i="1"/>
  <c r="AB21" i="1"/>
  <c r="R21" i="1"/>
  <c r="Q21" i="1"/>
  <c r="L21" i="1"/>
  <c r="K21" i="1"/>
  <c r="AB19" i="1"/>
  <c r="R19" i="1"/>
  <c r="Q19" i="1"/>
  <c r="L19" i="1"/>
  <c r="K19" i="1"/>
  <c r="AB17" i="1"/>
  <c r="R17" i="1"/>
  <c r="Q17" i="1"/>
  <c r="L17" i="1"/>
  <c r="K17" i="1"/>
  <c r="L114" i="1" l="1"/>
  <c r="K114" i="1"/>
  <c r="L113" i="1"/>
  <c r="K113" i="1"/>
  <c r="L112" i="1"/>
  <c r="K112" i="1"/>
  <c r="L111" i="1"/>
  <c r="K111" i="1"/>
  <c r="AI74" i="1"/>
  <c r="AE74" i="1"/>
  <c r="Z73" i="1"/>
  <c r="Y73" i="1"/>
  <c r="X73" i="1"/>
  <c r="W73" i="1"/>
  <c r="AK72" i="1"/>
  <c r="AG72" i="1"/>
  <c r="AI71" i="1"/>
  <c r="AE71" i="1"/>
  <c r="Z70" i="1"/>
  <c r="Y70" i="1"/>
  <c r="X70" i="1"/>
  <c r="W70" i="1"/>
  <c r="AK69" i="1"/>
  <c r="AG69" i="1"/>
  <c r="AI68" i="1"/>
  <c r="AE68" i="1"/>
  <c r="Z67" i="1"/>
  <c r="Y67" i="1"/>
  <c r="X67" i="1"/>
  <c r="W67" i="1"/>
  <c r="AK66" i="1"/>
  <c r="AG66" i="1"/>
  <c r="AI65" i="1"/>
  <c r="AE65" i="1"/>
  <c r="Z64" i="1"/>
  <c r="Y64" i="1"/>
  <c r="X64" i="1"/>
  <c r="W64" i="1"/>
  <c r="AK63" i="1"/>
  <c r="AG63" i="1"/>
  <c r="AI62" i="1"/>
  <c r="AE62" i="1"/>
  <c r="Z61" i="1"/>
  <c r="Y61" i="1"/>
  <c r="X61" i="1"/>
  <c r="W61" i="1"/>
  <c r="AK60" i="1"/>
  <c r="AG60" i="1"/>
  <c r="AI59" i="1"/>
  <c r="AE59" i="1"/>
  <c r="Z58" i="1"/>
  <c r="Y58" i="1"/>
  <c r="X58" i="1"/>
  <c r="W58" i="1"/>
  <c r="Z57" i="1"/>
  <c r="Y57" i="1"/>
  <c r="X57" i="1"/>
  <c r="W57" i="1"/>
  <c r="AK56" i="1"/>
  <c r="AG56" i="1"/>
  <c r="AI55" i="1"/>
  <c r="AE55" i="1"/>
  <c r="Z54" i="1"/>
  <c r="Y54" i="1"/>
  <c r="X54" i="1"/>
  <c r="W54" i="1"/>
  <c r="AK53" i="1"/>
  <c r="AG53" i="1"/>
  <c r="R51" i="1"/>
  <c r="Q51" i="1"/>
  <c r="L50" i="1"/>
  <c r="R48" i="1"/>
  <c r="Q48" i="1"/>
  <c r="L47" i="1"/>
  <c r="K47" i="1"/>
  <c r="R45" i="1"/>
  <c r="Q45" i="1"/>
  <c r="L44" i="1"/>
  <c r="K44" i="1"/>
  <c r="R42" i="1"/>
  <c r="Q42" i="1"/>
  <c r="L41" i="1"/>
  <c r="K41" i="1"/>
  <c r="R39" i="1"/>
  <c r="Q39" i="1"/>
  <c r="L38" i="1"/>
  <c r="K38" i="1"/>
  <c r="R36" i="1"/>
  <c r="Q36" i="1"/>
  <c r="L35" i="1"/>
  <c r="K35" i="1"/>
  <c r="R33" i="1"/>
  <c r="Q33" i="1"/>
  <c r="L32" i="1"/>
  <c r="K32" i="1"/>
  <c r="AK31" i="1"/>
  <c r="AI31" i="1"/>
  <c r="AG31" i="1"/>
  <c r="AE31" i="1"/>
  <c r="Z31" i="1"/>
  <c r="Y31" i="1"/>
  <c r="X31" i="1"/>
  <c r="W31" i="1"/>
  <c r="AK29" i="1"/>
  <c r="AI29" i="1"/>
  <c r="AG29" i="1"/>
  <c r="AE29" i="1"/>
  <c r="Z29" i="1"/>
  <c r="Y29" i="1"/>
  <c r="X29" i="1"/>
  <c r="W29" i="1"/>
  <c r="AK26" i="1"/>
  <c r="AI26" i="1"/>
  <c r="AG26" i="1"/>
  <c r="AE26" i="1"/>
  <c r="Z26" i="1"/>
  <c r="Y26" i="1"/>
  <c r="X26" i="1"/>
  <c r="W26" i="1"/>
  <c r="AK24" i="1"/>
  <c r="AI24" i="1"/>
  <c r="AG24" i="1"/>
  <c r="AE24" i="1"/>
  <c r="Z24" i="1"/>
  <c r="Y24" i="1"/>
  <c r="X24" i="1"/>
  <c r="W24" i="1"/>
  <c r="AK22" i="1"/>
  <c r="AI22" i="1"/>
  <c r="AG22" i="1"/>
  <c r="AE22" i="1"/>
  <c r="Z22" i="1"/>
  <c r="Y22" i="1"/>
  <c r="X22" i="1"/>
  <c r="W22" i="1"/>
  <c r="AK20" i="1"/>
  <c r="AI20" i="1"/>
  <c r="AG20" i="1"/>
  <c r="AE20" i="1"/>
  <c r="Z20" i="1"/>
  <c r="Y20" i="1"/>
  <c r="X20" i="1"/>
  <c r="W20" i="1"/>
  <c r="AK18" i="1"/>
  <c r="AI18" i="1"/>
  <c r="AG18" i="1"/>
  <c r="AE18" i="1"/>
  <c r="Z18" i="1"/>
  <c r="Y18" i="1"/>
  <c r="X18" i="1"/>
  <c r="W18" i="1"/>
  <c r="K50" i="1"/>
  <c r="AK131" i="1"/>
  <c r="AG131" i="1"/>
  <c r="AK130" i="1"/>
  <c r="AI130" i="1"/>
  <c r="AG130" i="1"/>
  <c r="AE130" i="1"/>
  <c r="Z130" i="1"/>
  <c r="Y130" i="1"/>
  <c r="X130" i="1"/>
  <c r="W130" i="1"/>
  <c r="AK127" i="1"/>
  <c r="AI127" i="1"/>
  <c r="AG127" i="1"/>
  <c r="AE127" i="1"/>
  <c r="Z127" i="1"/>
  <c r="Y127" i="1"/>
  <c r="X127" i="1"/>
  <c r="W127" i="1"/>
  <c r="AK126" i="1"/>
  <c r="AI126" i="1"/>
  <c r="AG126" i="1"/>
  <c r="AE126" i="1"/>
  <c r="Z126" i="1"/>
  <c r="Y126" i="1"/>
  <c r="X126" i="1"/>
  <c r="W126" i="1"/>
  <c r="AK124" i="1"/>
  <c r="AI124" i="1"/>
  <c r="AG124" i="1"/>
  <c r="AE124" i="1"/>
  <c r="Z124" i="1"/>
  <c r="Y124" i="1"/>
  <c r="X124" i="1"/>
  <c r="W124" i="1"/>
  <c r="AK123" i="1"/>
  <c r="AI123" i="1"/>
  <c r="AG123" i="1"/>
  <c r="AE123" i="1"/>
  <c r="Z123" i="1"/>
  <c r="Y123" i="1"/>
  <c r="X123" i="1"/>
  <c r="W123" i="1"/>
  <c r="R120" i="1"/>
  <c r="Q120" i="1"/>
  <c r="R119" i="1"/>
  <c r="Q119" i="1"/>
  <c r="R118" i="1"/>
  <c r="Q118" i="1"/>
  <c r="R117" i="1"/>
  <c r="Q117" i="1"/>
  <c r="R116" i="1"/>
  <c r="Q116" i="1"/>
  <c r="AK108" i="1"/>
  <c r="AG108" i="1"/>
  <c r="AK107" i="1"/>
  <c r="AG107" i="1"/>
  <c r="AK106" i="1"/>
  <c r="AG106" i="1"/>
  <c r="AK105" i="1"/>
  <c r="AG105" i="1"/>
  <c r="AK104" i="1"/>
  <c r="AG104" i="1"/>
  <c r="Z96" i="1"/>
  <c r="Y96" i="1"/>
  <c r="X96" i="1"/>
  <c r="W96" i="1"/>
  <c r="Z95" i="1"/>
  <c r="Y95" i="1"/>
  <c r="X95" i="1"/>
  <c r="W95" i="1"/>
  <c r="Z94" i="1"/>
  <c r="Y94" i="1"/>
  <c r="X94" i="1"/>
  <c r="W94" i="1"/>
  <c r="Z93" i="1"/>
  <c r="Y93" i="1"/>
  <c r="X93" i="1"/>
  <c r="W93" i="1"/>
  <c r="Z92" i="1"/>
  <c r="Y92" i="1"/>
  <c r="X92" i="1"/>
  <c r="W92" i="1"/>
  <c r="AK84" i="1"/>
  <c r="AI84" i="1"/>
  <c r="AG84" i="1"/>
  <c r="AE84" i="1"/>
  <c r="Z84" i="1"/>
  <c r="Y84" i="1"/>
  <c r="X84" i="1"/>
  <c r="W84" i="1"/>
  <c r="AK83" i="1"/>
  <c r="AI83" i="1"/>
  <c r="AG83" i="1"/>
  <c r="AE83" i="1"/>
  <c r="Z83" i="1"/>
  <c r="Y83" i="1"/>
  <c r="X83" i="1"/>
  <c r="W83" i="1"/>
  <c r="AK82" i="1"/>
  <c r="AI82" i="1"/>
  <c r="AG82" i="1"/>
  <c r="AE82" i="1"/>
  <c r="Z82" i="1"/>
  <c r="Y82" i="1"/>
  <c r="X82" i="1"/>
  <c r="W82" i="1"/>
  <c r="AK81" i="1"/>
  <c r="AI81" i="1"/>
  <c r="AG81" i="1"/>
  <c r="AE81" i="1"/>
  <c r="Z81" i="1"/>
  <c r="Y81" i="1"/>
  <c r="X81" i="1"/>
  <c r="W81" i="1"/>
  <c r="AK80" i="1"/>
  <c r="AI80" i="1"/>
  <c r="AG80" i="1"/>
  <c r="AE80" i="1"/>
  <c r="Z80" i="1"/>
  <c r="Y80" i="1"/>
  <c r="X80" i="1"/>
  <c r="W80" i="1"/>
  <c r="AI79" i="1"/>
  <c r="AE79" i="1"/>
  <c r="AI78" i="1"/>
  <c r="AE78" i="1"/>
  <c r="AI77" i="1"/>
  <c r="AE77" i="1"/>
  <c r="AI76" i="1"/>
  <c r="AE76" i="1"/>
  <c r="AI75" i="1"/>
  <c r="AE75" i="1"/>
  <c r="AJ131" i="1"/>
  <c r="AF131" i="1"/>
  <c r="AJ130" i="1"/>
  <c r="AH130" i="1"/>
  <c r="AF130" i="1"/>
  <c r="AD130" i="1"/>
  <c r="T128" i="1"/>
  <c r="S128" i="1"/>
  <c r="N128" i="1"/>
  <c r="M128" i="1"/>
  <c r="AJ127" i="1"/>
  <c r="AH127" i="1"/>
  <c r="AF127" i="1"/>
  <c r="AD127" i="1"/>
  <c r="AJ126" i="1"/>
  <c r="AH126" i="1"/>
  <c r="AF126" i="1"/>
  <c r="AD126" i="1"/>
  <c r="AJ124" i="1"/>
  <c r="AH124" i="1"/>
  <c r="AF124" i="1"/>
  <c r="AD124" i="1"/>
  <c r="AJ123" i="1"/>
  <c r="AH123" i="1"/>
  <c r="AF123" i="1"/>
  <c r="AD123" i="1"/>
  <c r="T120" i="1"/>
  <c r="S120" i="1"/>
  <c r="T119" i="1"/>
  <c r="S119" i="1"/>
  <c r="T118" i="1"/>
  <c r="S118" i="1"/>
  <c r="T117" i="1"/>
  <c r="S117" i="1"/>
  <c r="T116" i="1"/>
  <c r="S116" i="1"/>
  <c r="N114" i="1"/>
  <c r="M114" i="1"/>
  <c r="N113" i="1"/>
  <c r="M113" i="1"/>
  <c r="N112" i="1"/>
  <c r="M112" i="1"/>
  <c r="N111" i="1"/>
  <c r="M111" i="1"/>
  <c r="AJ108" i="1"/>
  <c r="AF108" i="1"/>
  <c r="AJ107" i="1"/>
  <c r="AF107" i="1"/>
  <c r="AJ106" i="1"/>
  <c r="AF106" i="1"/>
  <c r="AJ105" i="1"/>
  <c r="AF105" i="1"/>
  <c r="AJ104" i="1"/>
  <c r="AF104" i="1"/>
  <c r="AC103" i="1"/>
  <c r="AC102" i="1"/>
  <c r="AC101" i="1"/>
  <c r="AC100" i="1"/>
  <c r="AC99" i="1"/>
  <c r="T91" i="1"/>
  <c r="S91" i="1"/>
  <c r="N91" i="1"/>
  <c r="M91" i="1"/>
  <c r="T90" i="1"/>
  <c r="S90" i="1"/>
  <c r="N90" i="1"/>
  <c r="M90" i="1"/>
  <c r="T89" i="1"/>
  <c r="S89" i="1"/>
  <c r="N89" i="1"/>
  <c r="M89" i="1"/>
  <c r="T88" i="1"/>
  <c r="S88" i="1"/>
  <c r="N88" i="1"/>
  <c r="M88" i="1"/>
  <c r="T87" i="1"/>
  <c r="S87" i="1"/>
  <c r="N87" i="1"/>
  <c r="M87" i="1"/>
  <c r="AJ84" i="1"/>
  <c r="AH84" i="1"/>
  <c r="AF84" i="1"/>
  <c r="AD84" i="1"/>
  <c r="AJ83" i="1"/>
  <c r="AH83" i="1"/>
  <c r="AF83" i="1"/>
  <c r="AD83" i="1"/>
  <c r="AJ82" i="1"/>
  <c r="AH82" i="1"/>
  <c r="AF82" i="1"/>
  <c r="AD82" i="1"/>
  <c r="AJ81" i="1"/>
  <c r="AH81" i="1"/>
  <c r="AF81" i="1"/>
  <c r="AD81" i="1"/>
  <c r="AJ80" i="1"/>
  <c r="AH80" i="1"/>
  <c r="AF80" i="1"/>
  <c r="AD80" i="1"/>
  <c r="AH79" i="1"/>
  <c r="AD79" i="1"/>
  <c r="AH78" i="1"/>
  <c r="AD78" i="1"/>
  <c r="AH77" i="1"/>
  <c r="AD77" i="1"/>
  <c r="AH76" i="1"/>
  <c r="AD76" i="1"/>
  <c r="AH75" i="1"/>
  <c r="AD75" i="1"/>
  <c r="AH74" i="1"/>
  <c r="AD74" i="1"/>
  <c r="AJ72" i="1"/>
  <c r="AF72" i="1"/>
  <c r="AH71" i="1"/>
  <c r="AD71" i="1"/>
  <c r="AJ69" i="1"/>
  <c r="AF69" i="1"/>
  <c r="AH68" i="1"/>
  <c r="AD68" i="1"/>
  <c r="AJ66" i="1"/>
  <c r="AF66" i="1"/>
  <c r="AH65" i="1"/>
  <c r="AD65" i="1"/>
  <c r="AJ63" i="1"/>
  <c r="AF63" i="1"/>
  <c r="AH62" i="1"/>
  <c r="AD62" i="1"/>
  <c r="AJ60" i="1"/>
  <c r="AF60" i="1"/>
  <c r="AH59" i="1"/>
  <c r="AD59" i="1"/>
  <c r="AJ56" i="1"/>
  <c r="AF56" i="1"/>
  <c r="AH55" i="1"/>
  <c r="AD55" i="1"/>
  <c r="AJ53" i="1"/>
  <c r="AF53" i="1"/>
  <c r="AC52" i="1"/>
  <c r="T51" i="1"/>
  <c r="S51" i="1"/>
  <c r="N50" i="1"/>
  <c r="M50" i="1"/>
  <c r="AC49" i="1"/>
  <c r="T48" i="1"/>
  <c r="S48" i="1"/>
  <c r="N47" i="1"/>
  <c r="M47" i="1"/>
  <c r="AC46" i="1"/>
  <c r="T45" i="1"/>
  <c r="S45" i="1"/>
  <c r="N44" i="1"/>
  <c r="M44" i="1"/>
  <c r="AC43" i="1"/>
  <c r="T42" i="1"/>
  <c r="S42" i="1"/>
  <c r="N41" i="1"/>
  <c r="M41" i="1"/>
  <c r="AC40" i="1"/>
  <c r="T39" i="1"/>
  <c r="S39" i="1"/>
  <c r="N38" i="1"/>
  <c r="M38" i="1"/>
  <c r="AC37" i="1"/>
  <c r="T36" i="1"/>
  <c r="S36" i="1"/>
  <c r="N35" i="1"/>
  <c r="M35" i="1"/>
  <c r="AC34" i="1"/>
  <c r="T33" i="1"/>
  <c r="S33" i="1"/>
  <c r="N32" i="1"/>
  <c r="M32" i="1"/>
  <c r="AJ31" i="1"/>
  <c r="AH31" i="1"/>
  <c r="AF31" i="1"/>
  <c r="AD31" i="1"/>
  <c r="AC30" i="1"/>
  <c r="S30" i="1"/>
  <c r="N30" i="1"/>
  <c r="M30" i="1"/>
  <c r="AJ29" i="1"/>
  <c r="AH29" i="1"/>
  <c r="AF29" i="1"/>
  <c r="AD29" i="1"/>
  <c r="AC28" i="1"/>
  <c r="S28" i="1"/>
  <c r="N28" i="1"/>
  <c r="M28" i="1"/>
  <c r="AC27" i="1"/>
  <c r="S27" i="1"/>
  <c r="N27" i="1"/>
  <c r="M27" i="1"/>
  <c r="AJ26" i="1"/>
  <c r="AH26" i="1"/>
  <c r="AF26" i="1"/>
  <c r="AD26" i="1"/>
  <c r="AC25" i="1"/>
  <c r="S25" i="1"/>
  <c r="N25" i="1"/>
  <c r="M25" i="1"/>
  <c r="AJ24" i="1"/>
  <c r="AH24" i="1"/>
  <c r="AF24" i="1"/>
  <c r="AD24" i="1"/>
  <c r="AC23" i="1"/>
  <c r="S23" i="1"/>
  <c r="N23" i="1"/>
  <c r="M23" i="1"/>
  <c r="AJ22" i="1"/>
  <c r="AH22" i="1"/>
  <c r="AF22" i="1"/>
  <c r="AD22" i="1"/>
  <c r="AC21" i="1"/>
  <c r="S21" i="1"/>
  <c r="N21" i="1"/>
  <c r="M21" i="1"/>
  <c r="AJ20" i="1"/>
  <c r="AH20" i="1"/>
  <c r="AF20" i="1"/>
  <c r="AD20" i="1"/>
  <c r="AC19" i="1"/>
  <c r="S19" i="1"/>
  <c r="N19" i="1"/>
  <c r="M19" i="1"/>
  <c r="AJ18" i="1"/>
  <c r="AH18" i="1"/>
  <c r="AF18" i="1"/>
  <c r="AD18" i="1"/>
  <c r="AC17" i="1"/>
  <c r="T17" i="1"/>
  <c r="S17" i="1"/>
  <c r="N17" i="1"/>
  <c r="M17" i="1"/>
  <c r="K10" i="6"/>
  <c r="L10" i="6"/>
  <c r="M10" i="6"/>
  <c r="N10" i="6"/>
  <c r="O10" i="6"/>
  <c r="P10" i="6"/>
  <c r="Q10" i="6"/>
  <c r="K11" i="6"/>
  <c r="L11" i="6"/>
  <c r="M11" i="6"/>
  <c r="N11" i="6"/>
  <c r="O11" i="6"/>
  <c r="P11" i="6"/>
  <c r="Q11" i="6"/>
  <c r="K12" i="6"/>
  <c r="L12" i="6"/>
  <c r="M12" i="6"/>
  <c r="N12" i="6"/>
  <c r="O12" i="6"/>
  <c r="P12" i="6"/>
  <c r="Q12" i="6"/>
  <c r="K13" i="6"/>
  <c r="L13" i="6"/>
  <c r="M13" i="6"/>
  <c r="N13" i="6"/>
  <c r="O13" i="6"/>
  <c r="P13" i="6"/>
  <c r="Q13" i="6"/>
  <c r="K14" i="6"/>
  <c r="L14" i="6"/>
  <c r="M14" i="6"/>
  <c r="N14" i="6"/>
  <c r="O14" i="6"/>
  <c r="P14" i="6"/>
  <c r="Q14" i="6"/>
  <c r="L9" i="6"/>
  <c r="M9" i="6"/>
  <c r="N9" i="6"/>
  <c r="O9" i="6"/>
  <c r="P9" i="6"/>
  <c r="Q9" i="6"/>
  <c r="K9" i="6"/>
  <c r="B122" i="1" l="1"/>
  <c r="B121" i="1"/>
  <c r="B120" i="1"/>
  <c r="B119" i="1"/>
  <c r="B118" i="1"/>
  <c r="B117" i="1"/>
  <c r="B116" i="1"/>
  <c r="B115" i="1"/>
  <c r="B114" i="1"/>
  <c r="B113" i="1"/>
  <c r="B112" i="1"/>
  <c r="B111" i="1"/>
  <c r="B110" i="1"/>
  <c r="B109" i="1"/>
  <c r="B108" i="1"/>
  <c r="B107" i="1"/>
  <c r="B106" i="1"/>
  <c r="B105" i="1"/>
  <c r="B104" i="1"/>
  <c r="B103" i="1"/>
  <c r="B102" i="1"/>
  <c r="B101" i="1"/>
  <c r="B100" i="1"/>
  <c r="B99" i="1"/>
  <c r="B91" i="1"/>
  <c r="B92" i="1"/>
  <c r="B93" i="1"/>
  <c r="B94" i="1"/>
  <c r="B95" i="1"/>
  <c r="B96" i="1"/>
  <c r="B97" i="1"/>
  <c r="B98"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7" i="1"/>
  <c r="B9" i="1"/>
  <c r="B8" i="1"/>
  <c r="B10" i="1"/>
  <c r="B11" i="1"/>
  <c r="B12" i="1"/>
  <c r="B13" i="1"/>
  <c r="B14" i="1"/>
  <c r="B15" i="1"/>
  <c r="B16" i="1"/>
  <c r="B32" i="1"/>
  <c r="B35" i="1"/>
  <c r="B38" i="1"/>
  <c r="B41" i="1"/>
  <c r="B44" i="1"/>
  <c r="B47" i="1"/>
  <c r="B50" i="1"/>
  <c r="B33" i="1"/>
  <c r="B36" i="1"/>
  <c r="B39" i="1"/>
  <c r="B42" i="1"/>
  <c r="B45" i="1"/>
  <c r="B48" i="1"/>
  <c r="B51" i="1"/>
  <c r="B34" i="1"/>
  <c r="B37" i="1"/>
  <c r="B40" i="1"/>
  <c r="B43" i="1"/>
  <c r="B46" i="1"/>
  <c r="B49" i="1"/>
  <c r="B52" i="1"/>
  <c r="B53" i="1"/>
  <c r="B56" i="1"/>
  <c r="B60" i="1"/>
  <c r="B63" i="1"/>
  <c r="B66" i="1"/>
  <c r="B69" i="1"/>
  <c r="B72" i="1"/>
  <c r="B54" i="1"/>
  <c r="B57" i="1"/>
  <c r="B58" i="1"/>
  <c r="B61" i="1"/>
  <c r="B64" i="1"/>
  <c r="B67" i="1"/>
  <c r="B70" i="1"/>
  <c r="B73" i="1"/>
  <c r="B55" i="1"/>
  <c r="B59" i="1"/>
  <c r="B62" i="1"/>
  <c r="B65" i="1"/>
  <c r="B68" i="1"/>
  <c r="B71" i="1"/>
  <c r="B74" i="1"/>
  <c r="B17" i="1"/>
  <c r="B19" i="1"/>
  <c r="B21" i="1"/>
  <c r="B23" i="1"/>
  <c r="B25" i="1"/>
  <c r="B27" i="1"/>
  <c r="B28" i="1"/>
  <c r="B30" i="1"/>
  <c r="B18" i="1"/>
  <c r="B20" i="1"/>
  <c r="B22" i="1"/>
  <c r="B24" i="1"/>
  <c r="B26" i="1"/>
  <c r="B29" i="1"/>
  <c r="B31" i="1"/>
  <c r="B75" i="1"/>
  <c r="B76" i="1"/>
  <c r="B77" i="1"/>
  <c r="B78" i="1"/>
  <c r="B79" i="1"/>
  <c r="B80" i="1"/>
  <c r="B81" i="1"/>
  <c r="B82" i="1"/>
  <c r="B83" i="1"/>
  <c r="B84" i="1"/>
  <c r="B85" i="1"/>
  <c r="B86" i="1"/>
  <c r="B87" i="1"/>
  <c r="B88" i="1"/>
  <c r="B89" i="1"/>
  <c r="B90" i="1"/>
</calcChain>
</file>

<file path=xl/sharedStrings.xml><?xml version="1.0" encoding="utf-8"?>
<sst xmlns="http://schemas.openxmlformats.org/spreadsheetml/2006/main" count="1711" uniqueCount="492">
  <si>
    <t>id编号</t>
    <phoneticPr fontId="1" type="noConversion"/>
  </si>
  <si>
    <t>默认值</t>
  </si>
  <si>
    <t>字段含义</t>
    <phoneticPr fontId="2" type="noConversion"/>
  </si>
  <si>
    <t>填写规则</t>
  </si>
  <si>
    <t>备注</t>
  </si>
  <si>
    <t>类型</t>
  </si>
  <si>
    <t>int</t>
    <phoneticPr fontId="2" type="noConversion"/>
  </si>
  <si>
    <t>字段名</t>
  </si>
  <si>
    <t>ID</t>
    <phoneticPr fontId="2" type="noConversion"/>
  </si>
  <si>
    <t>Name</t>
    <phoneticPr fontId="2" type="noConversion"/>
  </si>
  <si>
    <t>字段名</t>
    <phoneticPr fontId="1" type="noConversion"/>
  </si>
  <si>
    <t>类型</t>
    <phoneticPr fontId="1" type="noConversion"/>
  </si>
  <si>
    <t>string</t>
    <phoneticPr fontId="2" type="noConversion"/>
  </si>
  <si>
    <t>EquipTpye</t>
    <phoneticPr fontId="1" type="noConversion"/>
  </si>
  <si>
    <t>int</t>
    <phoneticPr fontId="1" type="noConversion"/>
  </si>
  <si>
    <t>名称</t>
    <phoneticPr fontId="1" type="noConversion"/>
  </si>
  <si>
    <t>id</t>
    <phoneticPr fontId="1" type="noConversion"/>
  </si>
  <si>
    <t>ForgeTpye</t>
    <phoneticPr fontId="1" type="noConversion"/>
  </si>
  <si>
    <t>锻材类型</t>
    <phoneticPr fontId="1" type="noConversion"/>
  </si>
  <si>
    <t>星级</t>
    <phoneticPr fontId="1" type="noConversion"/>
  </si>
  <si>
    <t>塑钢</t>
  </si>
  <si>
    <t>寒铁矿</t>
  </si>
  <si>
    <t>大地结晶</t>
  </si>
  <si>
    <t>活体钢</t>
  </si>
  <si>
    <t>晶化史莱姆眼</t>
  </si>
  <si>
    <t>地牢合金</t>
  </si>
  <si>
    <t>秘斯利努矿</t>
  </si>
  <si>
    <t>精金矿</t>
  </si>
  <si>
    <t>天玄铁</t>
  </si>
  <si>
    <t>灵魂之火</t>
  </si>
  <si>
    <t>徘徊魂石</t>
  </si>
  <si>
    <t>瑟尔·薇德风绸</t>
  </si>
  <si>
    <t>德鲁伊精魄</t>
  </si>
  <si>
    <t>荒神气息</t>
  </si>
  <si>
    <t>异端之印</t>
  </si>
  <si>
    <t>破除的誓约</t>
  </si>
  <si>
    <t>圣遗物块</t>
  </si>
  <si>
    <t>妖精的玩具</t>
  </si>
  <si>
    <t>骨灰盒</t>
  </si>
  <si>
    <t>魂匣</t>
  </si>
  <si>
    <t>混沌宝晶</t>
  </si>
  <si>
    <t>生息黑核</t>
  </si>
  <si>
    <t>龙耀的秘宝</t>
  </si>
  <si>
    <t>木质根薯</t>
  </si>
  <si>
    <t>树髓</t>
  </si>
  <si>
    <t>木晶</t>
  </si>
  <si>
    <t>汲能根须</t>
  </si>
  <si>
    <t>龙脉根</t>
  </si>
  <si>
    <t>定山神针</t>
  </si>
  <si>
    <t>修罗的刀柄</t>
  </si>
  <si>
    <t>石叶</t>
  </si>
  <si>
    <t>针叶</t>
  </si>
  <si>
    <t>龙脉花</t>
  </si>
  <si>
    <t>风暴月桂叶</t>
  </si>
  <si>
    <t>盈能叶片</t>
  </si>
  <si>
    <t>神隐枫</t>
  </si>
  <si>
    <t>耀斑构装聚能系统</t>
  </si>
  <si>
    <t>完美树枝</t>
  </si>
  <si>
    <t>寄生荆棘</t>
  </si>
  <si>
    <t>渴血枝条</t>
  </si>
  <si>
    <t>粘稠树液</t>
  </si>
  <si>
    <t>守护者的树皮</t>
  </si>
  <si>
    <t>芸樱木</t>
  </si>
  <si>
    <t>虚空耀斑御木</t>
  </si>
  <si>
    <t>普通骨头</t>
  </si>
  <si>
    <t>史莱姆核</t>
  </si>
  <si>
    <t>兽骨</t>
  </si>
  <si>
    <t>魔晶髓</t>
  </si>
  <si>
    <t>魔鬼骨</t>
  </si>
  <si>
    <t>奥利哈钢</t>
  </si>
  <si>
    <t>巴尔伐楼伽的豪骨</t>
  </si>
  <si>
    <t>野猪獠牙</t>
  </si>
  <si>
    <t>疾驰翎羽</t>
  </si>
  <si>
    <t>脱落甲壳</t>
  </si>
  <si>
    <t>妖读的长爪</t>
  </si>
  <si>
    <t>叹息鳞角</t>
  </si>
  <si>
    <t>恶兽异爪</t>
  </si>
  <si>
    <t>巨龙之爪</t>
  </si>
  <si>
    <t>巴尔伐楼伽的怨牙</t>
  </si>
  <si>
    <t>生皮</t>
  </si>
  <si>
    <t>兽人胆</t>
  </si>
  <si>
    <t>奇美拉心脏</t>
  </si>
  <si>
    <t>龙族鲜血</t>
  </si>
  <si>
    <t>仙女羽翼</t>
  </si>
  <si>
    <t>活体魔石</t>
  </si>
  <si>
    <t>灭世黑龙的心脉</t>
  </si>
  <si>
    <t>0、矿物质
1、灵质
2、木质
3、生物质</t>
    <phoneticPr fontId="1" type="noConversion"/>
  </si>
  <si>
    <t>1、1星
2、2星
3、3星
4、4星
5、5星
6、6星
7、7星</t>
    <phoneticPr fontId="1" type="noConversion"/>
  </si>
  <si>
    <t>介绍</t>
    <phoneticPr fontId="1" type="noConversion"/>
  </si>
  <si>
    <t>额外物理防御</t>
    <phoneticPr fontId="1" type="noConversion"/>
  </si>
  <si>
    <t>额外能量防御</t>
    <phoneticPr fontId="1" type="noConversion"/>
  </si>
  <si>
    <t>暴击率</t>
  </si>
  <si>
    <t>暴击伤害</t>
  </si>
  <si>
    <t>物理穿透</t>
  </si>
  <si>
    <t>能量穿透</t>
  </si>
  <si>
    <t>生命偷取概率</t>
    <phoneticPr fontId="1" type="noConversion"/>
  </si>
  <si>
    <t>生命偷取倍率</t>
    <phoneticPr fontId="1" type="noConversion"/>
  </si>
  <si>
    <t>额外生命值</t>
    <phoneticPr fontId="1" type="noConversion"/>
  </si>
  <si>
    <t>暴击伤害</t>
    <phoneticPr fontId="1" type="noConversion"/>
  </si>
  <si>
    <t>物理穿透</t>
    <phoneticPr fontId="1" type="noConversion"/>
  </si>
  <si>
    <t>能量穿透</t>
    <phoneticPr fontId="1" type="noConversion"/>
  </si>
  <si>
    <t>主词条</t>
  </si>
  <si>
    <t>星级</t>
  </si>
  <si>
    <t>副词条</t>
  </si>
  <si>
    <t>额外能量防御</t>
  </si>
  <si>
    <t>子类</t>
    <phoneticPr fontId="1" type="noConversion"/>
  </si>
  <si>
    <t>Subclass</t>
    <phoneticPr fontId="1" type="noConversion"/>
  </si>
  <si>
    <t>0、枝干
1、根
2、叶子
3、血肉
4、角质
5、骨质
6、魔法材料
7、不定形</t>
    <phoneticPr fontId="1" type="noConversion"/>
  </si>
  <si>
    <t>掉落区域</t>
    <phoneticPr fontId="1" type="noConversion"/>
  </si>
  <si>
    <t>矿物质没有子类</t>
    <phoneticPr fontId="1" type="noConversion"/>
  </si>
  <si>
    <t>斯凯洛海姆的幽钢</t>
    <phoneticPr fontId="1" type="noConversion"/>
  </si>
  <si>
    <t>晶路钻石</t>
    <phoneticPr fontId="1" type="noConversion"/>
  </si>
  <si>
    <t>遗落小骨</t>
  </si>
  <si>
    <t>亡灵大骨</t>
  </si>
  <si>
    <t>骨之晶</t>
  </si>
  <si>
    <t>骨法核心</t>
  </si>
  <si>
    <t>骨之冠</t>
  </si>
  <si>
    <t>聚焦魂灵</t>
  </si>
  <si>
    <t>无形的锁链</t>
  </si>
  <si>
    <t>虚灵</t>
  </si>
  <si>
    <t>厄运之沙</t>
  </si>
  <si>
    <t>绝望之布</t>
  </si>
  <si>
    <t>骨矿</t>
  </si>
  <si>
    <t>尖叫石</t>
  </si>
  <si>
    <t>魔女缎</t>
  </si>
  <si>
    <t>元素法核</t>
  </si>
  <si>
    <t>污染核心</t>
  </si>
  <si>
    <t>疫毒魔核</t>
  </si>
  <si>
    <t>美杜莎的头</t>
  </si>
  <si>
    <t>固体黏膜</t>
  </si>
  <si>
    <t>盔甲残片</t>
  </si>
  <si>
    <t>尸虫皮</t>
  </si>
  <si>
    <t>毒鼠利齿</t>
  </si>
  <si>
    <t>黑灵长甲</t>
  </si>
  <si>
    <t>污垢石</t>
  </si>
  <si>
    <t>黑结矿</t>
  </si>
  <si>
    <t>第一副属性</t>
    <phoneticPr fontId="1" type="noConversion"/>
  </si>
  <si>
    <t>哀咽木屑</t>
  </si>
  <si>
    <t>失灵木躯</t>
  </si>
  <si>
    <t>堕落树枝</t>
  </si>
  <si>
    <t>部落木枝</t>
  </si>
  <si>
    <t>邪木</t>
  </si>
  <si>
    <t>破碎的重弩</t>
  </si>
  <si>
    <t>有魔力的木头</t>
  </si>
  <si>
    <t>魔幻木雕</t>
  </si>
  <si>
    <t>巫灵诅咒</t>
  </si>
  <si>
    <t>病根</t>
  </si>
  <si>
    <t>部落灵石</t>
  </si>
  <si>
    <t>山精矿</t>
  </si>
  <si>
    <t>遗失的骨头，它的主人已经消散</t>
  </si>
  <si>
    <t>散发着恶臭，但却坚硬无比</t>
  </si>
  <si>
    <t>洁白无瑕的宝石，由骨头凝聚而成，毫无杂质。</t>
  </si>
  <si>
    <t>骷髅首领力量的源泉</t>
  </si>
  <si>
    <t>首领的荣耀，往往是沉重的负担。这次，他解脱了。</t>
  </si>
  <si>
    <t>汲取死寂之力，唤醒沉睡之魂。</t>
  </si>
  <si>
    <t>不可名状之力凝聚而成，封印着不可言说的悲伤与绝望。</t>
  </si>
  <si>
    <t>无名之人曾经存在这里</t>
  </si>
  <si>
    <t>由腐烂大地中采集的黑沙，似乎拥有一种不详的预兆。</t>
  </si>
  <si>
    <t>被黑暗与悲剧氛围笼罩的布料，似乎能传递出无尽的绝望。</t>
  </si>
  <si>
    <t>被抛弃在这里的骨架，经过了漫长的岁月，凝聚成了坚硬矿石</t>
  </si>
  <si>
    <t>不知道是不是长期在各种惊声尖叫中，这种石头被触摸时，也会发出尖叫声</t>
  </si>
  <si>
    <t>由魔女追随者织成的幕布，有能扭曲现实的幻象。</t>
  </si>
  <si>
    <t>这是一份独属于它的力量</t>
  </si>
  <si>
    <t>未知的力量，污染这里的一切</t>
  </si>
  <si>
    <t>鼠王身上掉落的魔核。</t>
  </si>
  <si>
    <t>化为灰烬的美杜莎，留下了一颗头颅，似乎是上好的炼金材料</t>
  </si>
  <si>
    <t>长期爬行后留下的痕迹，慢慢的形成了一片薄膜</t>
  </si>
  <si>
    <t>魔物战斗后留下的碎片，并不是真正意义上的盔甲碎片</t>
  </si>
  <si>
    <t>被剥下的尸虫外皮</t>
  </si>
  <si>
    <t>鼠王最为突出的那颗牙齿</t>
  </si>
  <si>
    <t>魔女追随者被击败后，掉落的污秽铠甲，经过加工说不定可以继续使用</t>
  </si>
  <si>
    <t>下水道的特产，可以吸收周围刺鼻的气味，多亏了它们，冒险者才可以进入下水道</t>
  </si>
  <si>
    <t>下水道最深处的矿石，累积了无数的污染</t>
  </si>
  <si>
    <t>来自被黑暗能量传染的树木碎片，似乎保留了一些未知的的哀嚎声。</t>
  </si>
  <si>
    <t>恶念已经充满了这具木躯</t>
  </si>
  <si>
    <t>被哥布林魔法腐蚀的树枝，散发出腐烂的气息，仿佛能感受到死亡的氛围。</t>
  </si>
  <si>
    <t>来自哥布林住宅树木的木头，似乎散发着哥布林气息。</t>
  </si>
  <si>
    <t>哥布林首领的法杖原材料</t>
  </si>
  <si>
    <t>哀嚎与惨叫都被困在弩里</t>
  </si>
  <si>
    <t>哥布林身上掉落，好像是用来制作护甲的</t>
  </si>
  <si>
    <t>由哥布林邪巫雕刻而成的艺术品，蕴含了恶毒的力量。</t>
  </si>
  <si>
    <t>一段刻在木头的恶毒诅咒</t>
  </si>
  <si>
    <t>尽管毒障缠身，它依然记得自己的主人</t>
  </si>
  <si>
    <t>一般存在于哥布林部落旁，为哥布林的生活提供热源</t>
  </si>
  <si>
    <t>哥布林们十分喜欢用这种矿石打造自己的盔甲</t>
  </si>
  <si>
    <t>黑魂叶</t>
  </si>
  <si>
    <t>永夜草环</t>
  </si>
  <si>
    <t>魂骨灵叶</t>
  </si>
  <si>
    <t>守夜之叶</t>
  </si>
  <si>
    <t>怨恨魂叶</t>
  </si>
  <si>
    <t>恶臭毒血</t>
  </si>
  <si>
    <t>失魂朽肉</t>
  </si>
  <si>
    <t>巨鬼血肉</t>
  </si>
  <si>
    <t>血色心脏</t>
  </si>
  <si>
    <t>火芸龙血</t>
  </si>
  <si>
    <t>魔龙影石</t>
  </si>
  <si>
    <t>晶蓝石</t>
  </si>
  <si>
    <t>即便死后也无法解脱</t>
  </si>
  <si>
    <t>吸光的黑色叶子，组成的草环，似乎提供了魔力的循环</t>
  </si>
  <si>
    <t>生命消逝，就像秋天的落叶一般</t>
  </si>
  <si>
    <t>某人一直遵循的誓言，化为一片叶子，根茎上全是密密麻麻的小字</t>
  </si>
  <si>
    <t>魂叶，妖魔的血肉所化，对于它们更是如此，只是夹杂着许多怨念，或许是不甘心吧。</t>
  </si>
  <si>
    <t>散发着阵阵恶臭</t>
  </si>
  <si>
    <t>没有灵魂存在的躯体，跟烂肉无异</t>
  </si>
  <si>
    <t>巨鬼妖留下的血肉，非常的硬</t>
  </si>
  <si>
    <t>体验到生命的流逝，却又在死亡的边缘感受到重生的力量</t>
  </si>
  <si>
    <t>炽热，卓越，沸腾!</t>
  </si>
  <si>
    <t>魔龙虚影的核心，是他们能显像主要力量来源</t>
  </si>
  <si>
    <t>蓝晶鱼兽身上魔力储存的地方，拥有极高的炼金价值</t>
  </si>
  <si>
    <t>灵魂之石</t>
  </si>
  <si>
    <t>黑影木</t>
  </si>
  <si>
    <t>黑幕缎</t>
  </si>
  <si>
    <t>永夜之心</t>
  </si>
  <si>
    <t>被黑暗腐蚀的树枝，散发出腐烂的气息，仿佛能感受到死亡的氛围。</t>
  </si>
  <si>
    <t>闪烁着幽灵般光芒的石头，似乎寄宿了不知名的灵魂。</t>
  </si>
  <si>
    <t>由暗戏木雕刻而成的艺术品，蕴含了魔法的力量。</t>
  </si>
  <si>
    <t>来自幽灵住宅的树木的木头，似乎散发着不稳定的鬼魅气息。</t>
  </si>
  <si>
    <t>由幻影之丝织成的幕布，有能扭曲现实的幻象。</t>
  </si>
  <si>
    <t>吸光的黑色心脏，貌似是那位疯狂法师的核心力量。</t>
  </si>
  <si>
    <t>0、野图，材料通用型
1、亡灵
2、下水道
3、望湖亭
4、哥布林
5、幽傀戏</t>
    <phoneticPr fontId="1" type="noConversion"/>
  </si>
  <si>
    <t>基础攻击力A</t>
    <phoneticPr fontId="1" type="noConversion"/>
  </si>
  <si>
    <t>基础攻击力B</t>
    <phoneticPr fontId="1" type="noConversion"/>
  </si>
  <si>
    <t>基础防御力A</t>
    <phoneticPr fontId="1" type="noConversion"/>
  </si>
  <si>
    <t>基础防御力B</t>
    <phoneticPr fontId="1" type="noConversion"/>
  </si>
  <si>
    <t>基础生命值A</t>
    <phoneticPr fontId="1" type="noConversion"/>
  </si>
  <si>
    <t>基础生命值B</t>
    <phoneticPr fontId="1" type="noConversion"/>
  </si>
  <si>
    <t>SecondaryAttribute</t>
    <phoneticPr fontId="1" type="noConversion"/>
  </si>
  <si>
    <t>DropZone</t>
    <phoneticPr fontId="1" type="noConversion"/>
  </si>
  <si>
    <t>Introduce</t>
    <phoneticPr fontId="1" type="noConversion"/>
  </si>
  <si>
    <t>斯凯洛海姆的幽钢</t>
  </si>
  <si>
    <t>晶路钻石</t>
  </si>
  <si>
    <t>27.66-68.13</t>
  </si>
  <si>
    <t>59.4-105.51</t>
  </si>
  <si>
    <t>95.82-146.28</t>
  </si>
  <si>
    <t>135.8-189.88</t>
  </si>
  <si>
    <t>178.74-235.94</t>
  </si>
  <si>
    <t>6-7.125</t>
  </si>
  <si>
    <t>12-14.25</t>
  </si>
  <si>
    <t>18-21.375</t>
  </si>
  <si>
    <t>24-28.5</t>
  </si>
  <si>
    <t>30-35.625</t>
  </si>
  <si>
    <t>36-42.75</t>
  </si>
  <si>
    <t>39-46.3125</t>
  </si>
  <si>
    <t>38.25-45</t>
  </si>
  <si>
    <t>30-90</t>
  </si>
  <si>
    <t>78-138</t>
  </si>
  <si>
    <t>126-186</t>
  </si>
  <si>
    <t>174-234</t>
  </si>
  <si>
    <t>222-282</t>
  </si>
  <si>
    <t>4-4.75</t>
  </si>
  <si>
    <t>8-9.5</t>
  </si>
  <si>
    <t>16-19</t>
  </si>
  <si>
    <t>20-23.75</t>
  </si>
  <si>
    <t>26-30.875</t>
  </si>
  <si>
    <t>25.5-30</t>
  </si>
  <si>
    <t>8.5-10</t>
  </si>
  <si>
    <t>12.75-15</t>
  </si>
  <si>
    <t>17-20</t>
  </si>
  <si>
    <t>21.25-25</t>
  </si>
  <si>
    <t>992.64-1474.3</t>
  </si>
  <si>
    <t>1388.57-1846.12</t>
  </si>
  <si>
    <t>1745.81-2315.58</t>
  </si>
  <si>
    <t>2187.43-2897.64</t>
  </si>
  <si>
    <t>2742.29-3572.48</t>
  </si>
  <si>
    <t>60-71.25</t>
  </si>
  <si>
    <t>120-142.5</t>
  </si>
  <si>
    <t>180-213.75</t>
  </si>
  <si>
    <t>240-285</t>
  </si>
  <si>
    <t>300-356.25</t>
  </si>
  <si>
    <t>360-427.5</t>
  </si>
  <si>
    <t>390-463.125</t>
  </si>
  <si>
    <t>127.5-150</t>
  </si>
  <si>
    <t>48-57</t>
  </si>
  <si>
    <t>72-85.5</t>
  </si>
  <si>
    <t>78-92.625</t>
  </si>
  <si>
    <t>51-60</t>
  </si>
  <si>
    <t>63.75-75</t>
  </si>
  <si>
    <t>76.5-90</t>
  </si>
  <si>
    <t>0.6-0.7125</t>
  </si>
  <si>
    <t>1.2-1.425</t>
  </si>
  <si>
    <t>1.8-2.1375</t>
  </si>
  <si>
    <t>2.4-2.85</t>
  </si>
  <si>
    <t>3-3.5625</t>
  </si>
  <si>
    <t>3.6-4.275</t>
  </si>
  <si>
    <t>3.9-4.63125</t>
  </si>
  <si>
    <t>1.275-1.5</t>
  </si>
  <si>
    <t>1.9125-2.25</t>
  </si>
  <si>
    <t>2.55-3</t>
  </si>
  <si>
    <t>3.1875-3.75</t>
  </si>
  <si>
    <t>3.825-4.5</t>
  </si>
  <si>
    <t>1.60-1.90%</t>
  </si>
  <si>
    <t>3.20-3.80%</t>
  </si>
  <si>
    <t>4.80-5.70%</t>
  </si>
  <si>
    <t>6.40-7.60%</t>
  </si>
  <si>
    <t>8.00-9.50%</t>
  </si>
  <si>
    <t>9.60-11.40%</t>
  </si>
  <si>
    <t>10.40-12.35%</t>
  </si>
  <si>
    <t>10.66-12.35%</t>
  </si>
  <si>
    <t>10.20-12.00%</t>
  </si>
  <si>
    <t>3.40-4.00%</t>
  </si>
  <si>
    <t>5.10-6.00%</t>
  </si>
  <si>
    <t>6.80-8.00%</t>
  </si>
  <si>
    <t>8.50-10.00%</t>
  </si>
  <si>
    <t>0.80-0.95%</t>
  </si>
  <si>
    <t>2.40-2.85%</t>
  </si>
  <si>
    <t>4.00-4.75%</t>
  </si>
  <si>
    <t>5.20-6.18%</t>
  </si>
  <si>
    <t>1.70-2.00%</t>
  </si>
  <si>
    <t>16.00-19.00%</t>
  </si>
  <si>
    <t>2.55-3.00%</t>
  </si>
  <si>
    <t>4.25-5.00%</t>
  </si>
  <si>
    <t>1.00-1.19%</t>
  </si>
  <si>
    <t>2.00-2.38%</t>
  </si>
  <si>
    <t>3.00-3.56%</t>
  </si>
  <si>
    <t>5.00-5.94%</t>
  </si>
  <si>
    <t>6.00-7.13%</t>
  </si>
  <si>
    <t>6.50-7.72%</t>
  </si>
  <si>
    <t>2.13-2.50%</t>
  </si>
  <si>
    <t>3.19-3.75%</t>
  </si>
  <si>
    <t>5.31-6.25%</t>
  </si>
  <si>
    <t>6.38-7.50%</t>
  </si>
  <si>
    <t>12.00-14.25%</t>
  </si>
  <si>
    <t>20.00-23.75%</t>
  </si>
  <si>
    <t>24.00-28.50%</t>
  </si>
  <si>
    <t>26.00-30.88%</t>
  </si>
  <si>
    <t>12.75-15.00%</t>
  </si>
  <si>
    <t>17.00-20.00%</t>
  </si>
  <si>
    <t>21.25-25.00%</t>
  </si>
  <si>
    <t>25.50-30.00%</t>
  </si>
  <si>
    <t>1.20-1.43%</t>
  </si>
  <si>
    <t>3.60-4.28%</t>
  </si>
  <si>
    <t>7.20-8.55%</t>
  </si>
  <si>
    <t>7.80-9.26%</t>
  </si>
  <si>
    <t>10.00-11.88%</t>
  </si>
  <si>
    <t>30.00-35.63%</t>
  </si>
  <si>
    <t>40.00-47.50%</t>
  </si>
  <si>
    <t>50.00-59.38%</t>
  </si>
  <si>
    <t>72.00-85.50%</t>
  </si>
  <si>
    <t>65.00-77.19%</t>
  </si>
  <si>
    <t>31.88-37.50%</t>
  </si>
  <si>
    <t>42.50-50.00%</t>
  </si>
  <si>
    <t>53.13-62.50%</t>
  </si>
  <si>
    <t>76.50-90.00%</t>
  </si>
  <si>
    <t>36.00-42.75%</t>
  </si>
  <si>
    <t>48.00-57.00%</t>
  </si>
  <si>
    <t>60.00-71.25%</t>
  </si>
  <si>
    <t>78.00-92.63%</t>
  </si>
  <si>
    <t>38.25-45.00%</t>
  </si>
  <si>
    <t>51.00-60.00%</t>
  </si>
  <si>
    <t>63.75-75.00%</t>
  </si>
  <si>
    <t>只在寒带地区出现的特殊矿物，带有蓝色条纹的银白色铁矿，带有淡淡的寒气 入手冰凉。</t>
  </si>
  <si>
    <t>一种墨绿色金属，通常存在于以太浓郁地区的森林，且通常存在于魔化植物的体内，比较少见。活体钢对其他金属的排斥性和破坏性极强，因此很难铸造合金，开采出来的活体钢必须使用冷锻工艺，否则会失去其所有特性。</t>
  </si>
  <si>
    <t>这种物质来源于史莱姆的眼球在某些特殊条件下产生的晶化效果，具有优异的抗压性和透光性，适合制作魔法设备的镜片，当然，由于其特殊的坚固质地，用来砸人也能造成可观的物理影响。
沼泽的女巫们也喜欢用这种材料制作法器。</t>
  </si>
  <si>
    <t>一种从地牢或遗迹墙体中提取的金属，打破被荒神赐福的地牢墙壁需要非常极端的手段，所以只有合法的专业的团队才能进行地牢合金的生产作业，但由于这种合金的极佳泛用性，你能在很多地方看到走私品。</t>
  </si>
  <si>
    <t>秘斯利努矿是一种闪耀银白色光芒的稀有金属，仅有钢铁的一半重量，但物理强度远超钢铁又拥有不俗的元素抗性。秘斯利努矿制作的装备会更加轻盈。</t>
  </si>
  <si>
    <t>带有白色条纹闪光的黄金，质地坚硬的同时具有一定的魔力隔绝属性，可以用来制作具有破魔属性的武器和工具，亦或是隔绝魔力传导的护甲装备。</t>
  </si>
  <si>
    <t>深黑并散发幽幽红光的沉重金属，可以一定程度上抵消元素的干扰。
这种金属的熔点极高，且含有磁力，但根据魔法部研究，其性质不含有任何魔法气息，甚至会阻绝魔导线路的构成。
“寻常刀枪剑戟之中，只要加入半两数钱，凡铁立成利器。”
根据绯红城的传说来看，这种金属多用于神兵。</t>
  </si>
  <si>
    <t>被至夜幽域侵蚀的地方会偶尔析出这种金属结晶，这种来自于异界的材料并不常见，以至于物质的解析进度极低，现在的科学理论还无法解释它的物理存在性质。但唯一可知的一点是——这个材料的高可塑性和强度，适合用于打造绝大部分的工具和装备品。</t>
  </si>
  <si>
    <t>不知道哪个魔物肚子里找到的圣遗物碎片，发挥不出来应有的作用，但也许还残留着一些什么神圣的性质吧。</t>
  </si>
  <si>
    <t>这个火焰代表着不死生物的灵魂依旧没有消逝，它们扭曲的生命力化为这种不会熄灭的火焰，直到它们找到下一个适合自己的身体。
被诅咒的灵魂只能驱动失去生命的躯体，但这些游魂偶然附着在活物的身体上就会产生作祟甚至致病的现象。</t>
  </si>
  <si>
    <t>妖精们制作的魔力透镜，可以用来当观察的魔力眼。
有些闲得无聊的妖精想用这种东西拿去看看魔物的肚子里有什么，这就是你会捡到这个玩意儿的原因。
上面有一些精致的魔导线路，可以拿来当做装备的魔力桥接部件</t>
  </si>
  <si>
    <t>灵魂的一种特殊形态，可以被握在手中，但依然没有实体。
大多数的生物都拥有灵魂，哪怕是不死族。
尽管不死族的灵魂已经被诅咒扭曲得千疮百孔。</t>
  </si>
  <si>
    <t>每一个巫妖都会有两个盒子，一个是魂匣，一个是骨灰盒。前者装的是真正的灵魂，而后者装的是被打散架之后的躯体。躯体诚可贵，想再找到适合自己的可不简单，巫妖们也是很节俭的。
聪明的巫妖会把这两个至关重要的盒子藏在各处——比如幻化成一个不起眼的地砖埋在某个城镇的地基之中。</t>
  </si>
  <si>
    <t>妖精们用风织成的绸缎，感受不到任何重量，却可以抵御魔法和物理冲击。
妖精们当然不会告诉你怎么制成的。</t>
  </si>
  <si>
    <t>每一个巫妖都会有两个盒子，一个是骨灰盒，一个是魂匣。前者装着的是适合自己的躯体，而后者装的是仅此一份的真正的灵魂。如果连魂匣都被击碎甚至受控，就代表了巫妖真正意义上的死去，因此巫妖们会拼死保护自己的魂匣。
聪明的巫妖会把这两个至关重要的盒子藏在各处——比如不起眼的仆从，或者故意放跑的宠物身上，亦或者幻化成漂流瓶丢进海里。</t>
  </si>
  <si>
    <t>德鲁伊进行法术修行时会制作的临时精魄，用来建立桥梁让自己和自然连接。
这种包含了自然能量的火种是非常纯粹的能源，没有人会拒绝。</t>
  </si>
  <si>
    <t>被混沌之力袭扰的魔法水晶，满溢的魔能会为接触的物体提供强大的魔力，但风险尚不可知。</t>
  </si>
  <si>
    <t>荒神留下的一缕残息，哪怕只是些许的力量，也能让你感受到不可名状的压抑。
如果将其寄宿在武器上，那将会有多么可怖。</t>
  </si>
  <si>
    <t>极地噩梦体内的魔核或是器官，透明而富有光泽，内部的晶体像是魔导线路一般复杂交错。
至于为什么极地噩梦会有这种器官，也许是因为这种生物本就是古代文明的合成魔兽，不然难以解释这种精致如魔法部特制咒导芯片般复杂的魔核。
“不过打雪人掉钻石好像在某个世界是非常合理的事。”</t>
  </si>
  <si>
    <t>被荒神影响的强大魔物体内偶尔可以发现的宝石，上面环绕着无法解读的神代符文。</t>
  </si>
  <si>
    <t>被缇塔伊萨拉处刑的异端留下的残余灵魂，被两界分离的灵魂飘忽不定，向着深渊与星空不断纠缠。可以用来追随异界气息的踪迹。</t>
  </si>
  <si>
    <t>灭世黑龙逆鳞之下藏起来的秘宝，根据魔法部的研究解读，这个魔导具原本的作用是用来吸取整片区域的魔力使其成为魔力真空领域的效果。
但其在吸收黑龙逆鳞的力量后，不但失去了抽取魔力的能力，还源源不断的辐射出黑龙的威压。</t>
  </si>
  <si>
    <t>【极夜破誓者：亚罕·斯坎洛海姆·布雷希特】的破誓亡契，撕毁的灵体契约上浮现着鲜红的血字。
但你并看不懂这些异界语言，也难以理解斯凯洛海姆的先遣队为什么要涉足这个世界。</t>
  </si>
  <si>
    <t>一根完美形状的树枝，又或称“勇者之剑”
手握时，你感受到了无限的勇气。</t>
  </si>
  <si>
    <t>太久没吃的根薯，已经完全木质化了。
这是一种可食用魔法植物的根茎，拥有膨大的肉质根，是自然界中常见的食物。
有些魔物会将其带在身上作为备粮，然后随着时间和战斗的积累让这种魔法植物获得了再次生长，成为一种强韧材料。
“或许也没有那么强韧。”</t>
  </si>
  <si>
    <t>一种生命周期终止就会石化的叶片，虽然物理性质更接近矿物，但质地并不支持频繁受到冲击，所以这种材料不能拿来直接作为矿物使用。</t>
  </si>
  <si>
    <t>一种可以寄宿在各种生命体的植物，由于其适应性极强的饮魔特性，就连格雷姆也是它们的寄生对象。
寄生荆棘在吃饱后会强化宿主的物质结构，所以也有人主动让它们寄生自己的魔法道具。</t>
  </si>
  <si>
    <t>拥有智慧的树人才会有的精华部分，是树人生命力的象征，原本死后会融入大地成为养分，但及时收集起来的话可以作为强身健体的绝佳补品。</t>
  </si>
  <si>
    <t>叶如其名，就是如同针一样的细小叶片，但更锋锐，更有韧性，还有不俗的硬度，时常会被有经验的冒险家取下作为应急武器。</t>
  </si>
  <si>
    <t>这些枝条仿佛拥有生命力，它们似乎在脉动，甚至试图吸食所持之人的血液，事实上它们原本的主人也是这么做的。渴求血液的枝条会吸取充满生命力甚至包括各种知识的冒险家的血液作为养分，它们会开始模仿各类剑术甚至魔法。</t>
  </si>
  <si>
    <t>大多数有魔力或者有智慧的木系魔物都会在扎根的时候将多余的能量转化为这种被称为木晶的晶体，一是预防在营养匮乏的时候没有能量可供消耗。二是在这种状态下进入战斗则可以通过这种晶体来得到一定程度上的战斗补给，而这种简单有效的能源补给自然也是冒险家趋之若鹜的东西，纯净的能量有不输炼金师药物的能量补充，作为装备素材镶嵌进装备更是直观而醒目的增强。</t>
  </si>
  <si>
    <t>深黑色并时不时溅出鲜血的花叶，这种植物可以与接触的物质紧密相连，与其他材料组合时将花叶附着于表面，可以有效阻隔魔法现象的影响</t>
  </si>
  <si>
    <t>人受伤会流血，植物受伤自然会流淌汁液，或者树液。这些物质非常粘稠，作为天然胶水一样的东西，甚至拥有不输针线缝纫的牢靠。常有冒险家为了追求快速牢靠而选择用这种粘稠树液来拼凑他们的装备</t>
  </si>
  <si>
    <t>大部分植物都是有根的，根是植物吸收养分的唯二选择，作为最重要的“器官”之一，根系越发达则代表这个植物能掠夺更多的养分，成长的更茁壮，而从这种条件下诞生的根则是最好的素材之一，坚韧且能帮助宿主吸收养分。早就有学者提出了可以以这种树根来制作鞋子，通过特殊的工艺可以让穿上这种鞋的人如同植物一样产生类似根的效果来从大地吸取能量和养分。</t>
  </si>
  <si>
    <t>风暴月桂树的枝叶，被强风吹袭时甚至比刀片更为锋利。尽管如此。这种叶子可以拿来作为香料使用。</t>
  </si>
  <si>
    <t>冒险家们往往会心怀感激的扒下树人守护者的树皮，守护者这个词不仅代表了它的原主人会忠实的保护自己的族群，还会在被扒下来之后继续“自愿”的成为守护冒险家一份子。这种树皮非常坚硬，即便是不经过任何加工都可以抵御一般刀剑的劈砍。
但由于材料难易损耗的性质，这种材料随着冒险者的陨落再次被游离在荒野之中的魔物们回收，以至于就算不去挑战树人也有机会找到。</t>
  </si>
  <si>
    <t>深黑色并时不时溅出鲜血的根茎，这种植物可以与接触的物质紧密相连，与其他材料组合时会用根系维持其原本姿态，使材料更为坚韧。</t>
  </si>
  <si>
    <t>多产出于会魔法的木系魔物，如同本能般施术的木系魔物们的魔力甚至会如同“呼吸”一般自然的外放魔力。寻常魔法师甚至可以嘴里含着一片魔力充盈的叶子来快速回复自己的魔力，如果技艺高超，甚至可以把这种充满高浓度魔力的叶子做成可以短期使用的饰品，专门用于补充魔力。
产出来源：荆棘冠冕、原初之树冠，仅限这俩个怪物产出</t>
  </si>
  <si>
    <t>曾几何时脱落的芸樱木枝，它对于这个世界来说如同世界树一般，在一定程度上可以对现实产生扭曲。</t>
  </si>
  <si>
    <t>神代时期的植物，在土岩没有成型之前，定山神针也早已屹立在大地，随着风沙累积地脉运动，稳固的磐岩巨峰也不再需要这些远古的邦邦硬植物来定型了。</t>
  </si>
  <si>
    <t>神隐枫叶并不产自于任何植物之上，或许它本就不是这个次元的物质，这种枫叶会突然出现然后突然消失，让人难以寻觅踪迹。
神隐枫叶的出现往往伴随着时空错乱，有些可怜人会和枫叶一起被带入未知的位面。</t>
  </si>
  <si>
    <t>弗雷索拉达的完整装甲，利用虚空御木刻下复杂的魔导线路制成，拥有堪称极致的对魔法材料强度。</t>
  </si>
  <si>
    <t>跨越时空而来的木质刀柄，或许是取至另一个时空的芸樱木，在修罗的手中甚至可以发挥出划破时空的斩击，但在你手中，似乎失去了这些力量。</t>
  </si>
  <si>
    <t>弗雷索拉达的太阳能系统。当然，原理自然没有这么简单，这个系统的本质是利用虚空御木叶片的类叶绿素来聚焦光线带来的能量，不过哪怕不是太阳光也能够蓄能。</t>
  </si>
  <si>
    <t>你的战利品，不管它生前是什么，他现在只是一张淌血的皮而已，或许你可以拿去鞣制一下做成装备吧。</t>
  </si>
  <si>
    <t>世界上有80%的野猪有獠牙，很常见，很常规，也很有性价比。简单打磨就是可以使用的兵器，稍微打磨然后山寨一下可以试图冒充冒充珍贵的象牙或者别的奢侈品，然后忽悠某些大怨种大把掏钱。当然，除了你之外，其他人也会这么干，所以你也可以在野猪之外的家伙身上找到野猪獠牙。</t>
  </si>
  <si>
    <t>你都在打骷髅了，还能指望他会掉落什么？
但有一说一，随着荒神的影响，强大骷髅的骨头还真就硬如精钢，拿来当装备的素材也完全没问题</t>
  </si>
  <si>
    <t>仿佛与人类内脏没差别的血肉，但更有韧性，稍大一圈并且长时间保持活性，或许这就是兽人悍不畏死的侧面证明？</t>
  </si>
  <si>
    <t>自然死亡的陆行鸟身上才能找到的羽毛，连兽人都能知道它的价值，这种羽毛只要戴在身上似乎就能让行动变得稍微敏捷，在自然界中这一丢丢改变似乎至关重要。</t>
  </si>
  <si>
    <t>海中的甲壳类生物在生长时褪下的红色四边形旧壳，质地十分坚硬，适合用于加工成各种防护用具。</t>
  </si>
  <si>
    <t>只要是史莱姆，就一定会有核，核心是史莱姆唯一的动力源，也是这种生物的命脉，控制一大堆粘液进行任何行动，发出声音，包括能想象的任何行为都由这个核操纵。与大部分史莱姆软绵绵外在的不同，核是坚固的，而且是反直觉的坚固，它并不好破坏。或许是基于不好破坏的特点，有些冒险者会选择直接取出核作为素材，或是在核上刻下印记来使役史莱姆。</t>
  </si>
  <si>
    <t>合成魔兽奇美拉的心脏，时不时会发出混乱的鼓动声......
“你说你没见过奇美拉？拜托，奇美拉心脏本就是一种活着的魔物”
奇美拉心脏其实是一种寄生生物，奇美拉强大力量的一部分正来源于这个独立自主的心脏。
也就是说，你如果看到强大到异常的生物，没准是因为奇美拉心脏的原因导致的。</t>
  </si>
  <si>
    <t>强大不死生物“妖读”的锐利指甲。
当然，我说的并不是那些被死灵巫术影响的软趴趴不死行尸。
妖读力大无穷，吐出的阴气能让冰霜龙都自愧不如，他们轻轻一跃就能跳起数丈高，妖读时常为了不吓到其他种族都会给自己贴上一张用以弱化身体能力的纸符于额间。
好在，妖读是一种拥有智慧的生物，不招惹他们的情况下甚至可以算是亲切又安全的种族。</t>
  </si>
  <si>
    <t>生物的骨骼，主要由钙质组成，是支撑躯体并让肌肉附着的生物关键要素。
越是强大的生物骨骼的微观结构或是成分构造上会有明显的强化。</t>
  </si>
  <si>
    <t>一瓶龙族的鲜血
当然，恐龙也是龙。
强大的狗头人也是龙。
毕竟曾经的某些古龙不是很洁身自好，导致龙裔似乎有点泛滥。</t>
  </si>
  <si>
    <t>一片逆鳞或是孤角，几乎所有带鳞片的生物都可能会长出这种异化组织，前提是他们足够强大。</t>
  </si>
  <si>
    <t>一种由植物木芯或生物骨骼被魔力晶化后产生的材质，虽然材质本身质地脆弱，但却可以驱动其他物质中的魔力让装备整体结构更为牢固。</t>
  </si>
  <si>
    <t>美丽的生物自然要配上美丽的战利品，勇敢的挑战者也理应受到嘉奖。得到仙女认可的冒险者会得到仙女的礼物，就是她们的羽翼。至于为什么她们会有随身备用羽翼？聪明的冒险者都知道不要问这种问题。</t>
  </si>
  <si>
    <t>来自异界“斯凯洛海姆”的魔兽爪子，尽管被异界军团带来这个世界的只有爪子，但从这大小和材质来看，恶兽本体并不是可以轻易战胜的对手。</t>
  </si>
  <si>
    <t>生物的骨骼，主要由钙质组成，是支撑躯体并让肌肉附着的生物关键要素。但被罪业侵蚀的骨骼总是会沾染一些奇妙的诅咒，或许在特殊人群的眼中这也算一种祝福？ 至于为什么会被罪业侵蚀——因为一切生来便承担着罪业，魔物和植物也不例外。</t>
  </si>
  <si>
    <t>在极低概率下，魔石没有因为生体死亡而矿化的魔物器官。这种器官可以使魔物用来储存魔力影响魔力现象。魔石在生体死亡后会急速矿化，而后失去相应的作用。</t>
  </si>
  <si>
    <t>“龙浑身上下就没有不能作为武器和防具使用的地方，这些大蜥蜴本质上就是个战斗要塞！”，某个不愿透露姓名的人如是说。
他们的爪子极其锋锐，而且坚固，作为魔法生物的他们全身都允许魔力流淌，爪子也不例外，这使得龙爪也是优良的魔法武器的制造素材，巨龙会把自己褪下的旧爪赐予麾下的眷属们，以至于冒险者们偶尔能找到一些被岁月风化的爪子。
“你说为什么可以从狗头人身上找到这种材料？拜托，狗头人可是天生的龙裔，这不是常识吗。”</t>
  </si>
  <si>
    <t>或许世间常人都认为这是一种魔法金属，却忘记了它另一个名字——神之骨
消亡荒神的遗骨偶尔会被敢于进入危险之地的冒险者拾起，然后转化为另一种勇气与人们共存。
也或许，这只是荒神给予凡人的赏赐罢了。</t>
  </si>
  <si>
    <t>末世判决者【弥拉玻雷亚斯】脉动的心脏，在离开躯体之后依然进行着规律的跳动，似乎死亡并不能消灭它的存在一般。</t>
  </si>
  <si>
    <t>巴尔伐楼伽的恐怖巨牙，光是握在手中就能感受到无尽的食欲，这就是身为噬界的压迫力。</t>
  </si>
  <si>
    <t>巴尔伐楼伽的胸椎骨，是噬界兽身上最坚硬的部分，当然，也可以说是这个世界所有生物体内最坚硬的物质，没有之一。
尽管击败噬界兽不需要去管这部分骨骼，他毕竟也只是一头野兽罢了，破坏器官远比捣鼓一根打不坏的骨头来的快。</t>
  </si>
  <si>
    <t>基础生命力</t>
    <phoneticPr fontId="1" type="noConversion"/>
  </si>
  <si>
    <t>额外生命力</t>
    <phoneticPr fontId="1" type="noConversion"/>
  </si>
  <si>
    <t>0.8-0.95</t>
  </si>
  <si>
    <t>1.6-1.9</t>
  </si>
  <si>
    <t>3.2-3.8</t>
  </si>
  <si>
    <t>4.8-5.7</t>
  </si>
  <si>
    <t>5.2-6.175</t>
  </si>
  <si>
    <t>5.1-6</t>
  </si>
  <si>
    <t>1.7-2</t>
  </si>
  <si>
    <t>3.4-4</t>
  </si>
  <si>
    <t>4.25-5</t>
  </si>
  <si>
    <t>6.4-7.6</t>
  </si>
  <si>
    <t>9.6-11.4</t>
  </si>
  <si>
    <t>12.8-15.2</t>
  </si>
  <si>
    <t>19.2-22.8</t>
  </si>
  <si>
    <t>20.8-24.7</t>
  </si>
  <si>
    <t>20.4-24</t>
  </si>
  <si>
    <t>6.8-8</t>
  </si>
  <si>
    <t>10.2-12</t>
  </si>
  <si>
    <t>13.6-16</t>
  </si>
  <si>
    <t>包含杂质的铁合金，当然也可以优雅的将其称之为钢。这种金属没有什么元素亲和，普通的魔法师都能用热焰将其融化热塑。在随着无数次热塑融合多种神秘杂质之后，尽管物理强度没有得到提升，但至少有一些魔法抗性了。</t>
    <phoneticPr fontId="1" type="noConversion"/>
  </si>
  <si>
    <t xml:space="preserve">通常能在充斥大地气息的魔物身上发现，除此之外它们偶尔还会伴随着地震在地面折出。
</t>
    <phoneticPr fontId="1" type="noConversion"/>
  </si>
  <si>
    <t>27.66-61.317</t>
  </si>
  <si>
    <t>59.4-94.959</t>
  </si>
  <si>
    <t>95.82-131.652</t>
  </si>
  <si>
    <t>135.8-170.892</t>
  </si>
  <si>
    <t>178.74-212.346</t>
  </si>
  <si>
    <t>224.21-255.762</t>
  </si>
  <si>
    <t>271.93-278.145</t>
  </si>
  <si>
    <t>30-81</t>
  </si>
  <si>
    <t>78-124.2</t>
  </si>
  <si>
    <t>126-167.4</t>
  </si>
  <si>
    <t>174-210.6</t>
  </si>
  <si>
    <t>222-253.8</t>
  </si>
  <si>
    <t>270-297</t>
  </si>
  <si>
    <t>318-318.6</t>
  </si>
  <si>
    <t>992.64-1326.87</t>
  </si>
  <si>
    <t>1388.57-1661.508</t>
  </si>
  <si>
    <t>1745.81-2084.022</t>
  </si>
  <si>
    <t>2187.43-2607.876</t>
  </si>
  <si>
    <t>2742.29-3215.232</t>
  </si>
  <si>
    <t>3396.85-3874.617</t>
  </si>
  <si>
    <t>4118.7-4212.702</t>
  </si>
  <si>
    <t>包含杂质的铁合金，当然也可以优雅的将其称之为钢。这种金属没有什么元素亲和，普通的魔法师都能用热焰将其融化热塑。在随着无数次热塑融合多种神秘杂质之后，尽管物理强度没有得到提升，但至少有一些魔法抗性了。</t>
  </si>
  <si>
    <t xml:space="preserve">通常能在充斥大地气息的魔物身上发现，除此之外它们偶尔还会伴随着地震在地面折出。
</t>
  </si>
  <si>
    <t>基础物理攻击力</t>
    <phoneticPr fontId="1" type="noConversion"/>
  </si>
  <si>
    <t>主属性</t>
    <phoneticPr fontId="1" type="noConversion"/>
  </si>
  <si>
    <t>矿物质属性</t>
    <phoneticPr fontId="1" type="noConversion"/>
  </si>
  <si>
    <t>基础能量攻击力</t>
    <phoneticPr fontId="1" type="noConversion"/>
  </si>
  <si>
    <t>额外物理攻击力</t>
    <phoneticPr fontId="1" type="noConversion"/>
  </si>
  <si>
    <t>额外能量攻击力</t>
    <phoneticPr fontId="1" type="noConversion"/>
  </si>
  <si>
    <t>基础物理防御力</t>
    <phoneticPr fontId="1" type="noConversion"/>
  </si>
  <si>
    <t>基础能量防御力</t>
    <phoneticPr fontId="1" type="noConversion"/>
  </si>
  <si>
    <t>额外物理防御力</t>
    <phoneticPr fontId="1" type="noConversion"/>
  </si>
  <si>
    <t>额外能量防御力</t>
    <phoneticPr fontId="1" type="noConversion"/>
  </si>
  <si>
    <t>物理伤害</t>
    <phoneticPr fontId="1" type="noConversion"/>
  </si>
  <si>
    <t>能量伤害</t>
    <phoneticPr fontId="1" type="noConversion"/>
  </si>
  <si>
    <t>额外物理伤害</t>
    <phoneticPr fontId="1" type="noConversion"/>
  </si>
  <si>
    <t>额外能量伤害</t>
    <phoneticPr fontId="1" type="noConversion"/>
  </si>
  <si>
    <t>物理防御</t>
    <phoneticPr fontId="1" type="noConversion"/>
  </si>
  <si>
    <t>能量防御</t>
    <phoneticPr fontId="1" type="noConversion"/>
  </si>
  <si>
    <t>物理伤害提升百分比</t>
    <phoneticPr fontId="1" type="noConversion"/>
  </si>
  <si>
    <t>能量伤害提升百分比</t>
    <phoneticPr fontId="1" type="noConversion"/>
  </si>
  <si>
    <t>物理防御提升百分比</t>
    <phoneticPr fontId="1" type="noConversion"/>
  </si>
  <si>
    <t>能量防御提升百分比</t>
    <phoneticPr fontId="1" type="noConversion"/>
  </si>
  <si>
    <t>生命值</t>
    <phoneticPr fontId="1" type="noConversion"/>
  </si>
  <si>
    <t>生命值提升百分比</t>
    <phoneticPr fontId="4" type="noConversion"/>
  </si>
  <si>
    <t>耐力值</t>
    <phoneticPr fontId="1" type="noConversion"/>
  </si>
  <si>
    <t>耐力值回复</t>
    <phoneticPr fontId="1" type="noConversion"/>
  </si>
  <si>
    <t>耐力值回复%</t>
    <phoneticPr fontId="1" type="noConversion"/>
  </si>
  <si>
    <t>法力值</t>
    <phoneticPr fontId="1" type="noConversion"/>
  </si>
  <si>
    <t>法力值回复速率</t>
    <phoneticPr fontId="1" type="noConversion"/>
  </si>
  <si>
    <t>法力值回复速率%</t>
    <phoneticPr fontId="1" type="noConversion"/>
  </si>
  <si>
    <t>耐力值%</t>
    <phoneticPr fontId="1" type="noConversion"/>
  </si>
  <si>
    <t>法力值%</t>
    <phoneticPr fontId="1" type="noConversion"/>
  </si>
  <si>
    <t>生命值提升百分比</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</si>
</sst>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 "/>
  </numFmts>
  <fonts count="8" x14ac:knownFonts="1">
    <font>
      <sz val="11"/>
      <color theme="1"/>
      <name val="等线"/>
      <family val="2"/>
      <scheme val="minor"/>
    </font>
    <font>
      <sz val="9"/>
      <name val="等线"/>
      <family val="3"/>
      <charset val="134"/>
      <scheme val="minor"/>
    </font>
    <font>
      <sz val="9"/>
      <name val="等线"/>
      <family val="2"/>
      <charset val="134"/>
      <scheme val="minor"/>
    </font>
    <font>
      <sz val="11"/>
      <color rgb="FF000000"/>
      <name val="等线"/>
      <family val="3"/>
      <charset val="134"/>
    </font>
    <font>
      <sz val="9"/>
      <name val="等线"/>
      <family val="3"/>
      <charset val="134"/>
    </font>
    <font>
      <sz val="10"/>
      <color theme="1"/>
      <name val="等线"/>
      <family val="2"/>
      <scheme val="minor"/>
    </font>
    <font>
      <sz val="11"/>
      <color rgb="FFFF0000"/>
      <name val="等线"/>
      <family val="2"/>
      <scheme val="minor"/>
    </font>
    <font>
      <sz val="11"/>
      <color rgb="FFFF0000"/>
      <name val="等线"/>
      <family val="3"/>
      <charset val="134"/>
      <scheme val="minor"/>
    </font>
  </fonts>
  <fills count="2">
    <fill>
      <patternFill patternType="none"/>
    </fill>
    <fill>
      <patternFill patternType="gray125"/>
    </fill>
  </fills>
  <borders count="1">
    <border>
      <left/>
      <right/>
      <top/>
      <bottom/>
      <diagonal/>
    </border>
  </borders>
  <cellStyleXfs count="2">
    <xf numFmtId="0" fontId="0" fillId="0" borderId="0"/>
    <xf numFmtId="0" fontId="5" fillId="0" borderId="0" applyNumberFormat="0" applyFont="0" applyFill="0" applyBorder="0" applyProtection="0"/>
  </cellStyleXfs>
  <cellXfs count="21">
    <xf numFmtId="0" fontId="0" fillId="0" borderId="0" xfId="0"/>
    <xf numFmtId="0" fontId="0" fillId="0" borderId="0" xfId="0" applyAlignment="1">
      <alignment vertical="center"/>
    </xf>
    <xf numFmtId="0" fontId="0" fillId="0" borderId="0" xfId="0" applyAlignment="1">
      <alignment wrapText="1"/>
    </xf>
    <xf numFmtId="0" fontId="5" fillId="0" borderId="0" xfId="1" applyAlignment="1">
      <alignment vertical="center"/>
    </xf>
    <xf numFmtId="0" fontId="5" fillId="0" borderId="0" xfId="1" applyAlignment="1">
      <alignment horizontal="center" vertical="center"/>
    </xf>
    <xf numFmtId="10" fontId="5" fillId="0" borderId="0" xfId="1" applyNumberFormat="1" applyAlignment="1">
      <alignment horizontal="center" vertical="center"/>
    </xf>
    <xf numFmtId="176" fontId="0" fillId="0" borderId="0" xfId="0" applyNumberFormat="1" applyAlignment="1">
      <alignment vertical="center"/>
    </xf>
    <xf numFmtId="0" fontId="6" fillId="0" borderId="0" xfId="0" applyFont="1" applyAlignment="1">
      <alignment vertical="center"/>
    </xf>
    <xf numFmtId="0" fontId="7" fillId="0" borderId="0" xfId="0" applyFont="1" applyAlignment="1">
      <alignment vertical="center"/>
    </xf>
    <xf numFmtId="9" fontId="5" fillId="0" borderId="0" xfId="1" applyNumberFormat="1" applyAlignment="1">
      <alignment horizontal="center" vertical="center"/>
    </xf>
    <xf numFmtId="176" fontId="5" fillId="0" borderId="0" xfId="1" applyNumberFormat="1" applyAlignment="1">
      <alignment vertical="center"/>
    </xf>
    <xf numFmtId="0" fontId="0" fillId="0" borderId="0" xfId="0" applyAlignment="1">
      <alignment vertical="center" wrapText="1"/>
    </xf>
    <xf numFmtId="176" fontId="0" fillId="0" borderId="0" xfId="0" applyNumberFormat="1"/>
    <xf numFmtId="10" fontId="0" fillId="0" borderId="0" xfId="0" applyNumberFormat="1"/>
    <xf numFmtId="0" fontId="5" fillId="0" borderId="0" xfId="1" applyAlignment="1">
      <alignment horizontal="center" vertical="center"/>
    </xf>
    <xf numFmtId="0" fontId="0" fillId="0" borderId="0" xfId="0" applyAlignment="1"/>
    <xf numFmtId="10" fontId="0" fillId="0" borderId="0" xfId="0" applyNumberFormat="1" applyAlignment="1"/>
    <xf numFmtId="176" fontId="0" fillId="0" borderId="0" xfId="0" applyNumberFormat="1" applyAlignment="1"/>
    <xf numFmtId="0" fontId="0" fillId="0" borderId="0" xfId="0" applyAlignment="1">
      <alignment horizontal="center" vertical="center"/>
    </xf>
    <xf numFmtId="176" fontId="0" fillId="0" borderId="0" xfId="0" applyNumberFormat="1" applyAlignment="1">
      <alignment horizontal="center" vertical="center" wrapText="1"/>
    </xf>
    <xf numFmtId="10" fontId="0" fillId="0" borderId="0" xfId="0" applyNumberFormat="1" applyAlignment="1">
      <alignment horizontal="center" vertical="center" wrapText="1"/>
    </xf>
  </cellXfs>
  <cellStyles count="2">
    <cellStyle name="常规" xfId="0" builtinId="0"/>
    <cellStyle name="常规 2" xfId="1" xr:uid="{436FB0FA-EE13-444E-AF38-49A527B35A2A}"/>
  </cellStyles>
  <dxfs count="52">
    <dxf>
      <alignment horizontal="general" vertical="center" textRotation="0" wrapText="0" indent="0" justifyLastLine="0" shrinkToFit="0" readingOrder="0"/>
    </dxf>
    <dxf>
      <numFmt numFmtId="14" formatCode="0.00%"/>
      <alignment horizontal="general" vertical="bottom" textRotation="0" wrapText="0" indent="0" justifyLastLine="0" shrinkToFit="0" readingOrder="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alignment horizontal="general" textRotation="0" wrapText="0" indent="0" justifyLastLine="0" shrinkToFit="0" readingOrder="0"/>
    </dxf>
    <dxf>
      <numFmt numFmtId="176" formatCode="0.00_ "/>
      <alignment horizontal="general" textRotation="0" wrapText="0" indent="0" justifyLastLine="0" shrinkToFit="0" readingOrder="0"/>
    </dxf>
    <dxf>
      <numFmt numFmtId="14" formatCode="0.00%"/>
      <alignment horizontal="general" textRotation="0" wrapText="0" indent="0" justifyLastLine="0" shrinkToFit="0" readingOrder="0"/>
    </dxf>
    <dxf>
      <alignment horizontal="general" vertical="center" textRotation="0" wrapText="0" indent="0" justifyLastLine="0" shrinkToFit="0" readingOrder="0"/>
    </dxf>
    <dxf>
      <alignment horizontal="general" textRotation="0" wrapText="0" indent="0" justifyLastLine="0" shrinkToFit="0" readingOrder="0"/>
    </dxf>
    <dxf>
      <numFmt numFmtId="14" formatCode="0.00%"/>
      <alignment horizontal="general" textRotation="0" wrapText="0" indent="0" justifyLastLine="0" shrinkToFit="0" readingOrder="0"/>
    </dxf>
    <dxf>
      <numFmt numFmtId="176" formatCode="0.00_ "/>
      <alignment horizontal="general" textRotation="0" wrapText="0" indent="0" justifyLastLine="0" shrinkToFit="0" readingOrder="0"/>
    </dxf>
    <dxf>
      <numFmt numFmtId="14" formatCode="0.00%"/>
      <alignment horizontal="general" textRotation="0" wrapText="0" indent="0" justifyLastLine="0" shrinkToFit="0" readingOrder="0"/>
    </dxf>
    <dxf>
      <numFmt numFmtId="176" formatCode="0.00_ "/>
      <alignment horizontal="general" textRotation="0" wrapText="0" indent="0" justifyLastLine="0" shrinkToFit="0" readingOrder="0"/>
    </dxf>
    <dxf>
      <numFmt numFmtId="14" formatCode="0.00%"/>
      <alignment horizontal="general" textRotation="0" wrapText="0" indent="0" justifyLastLine="0" shrinkToFit="0" readingOrder="0"/>
    </dxf>
    <dxf>
      <numFmt numFmtId="176" formatCode="0.00_ "/>
      <alignment horizontal="general" textRotation="0" wrapText="0" indent="0" justifyLastLine="0" shrinkToFit="0" readingOrder="0"/>
    </dxf>
    <dxf>
      <numFmt numFmtId="14" formatCode="0.00%"/>
      <alignment horizontal="general" textRotation="0" wrapText="0" indent="0" justifyLastLine="0" shrinkToFit="0" readingOrder="0"/>
    </dxf>
    <dxf>
      <numFmt numFmtId="176" formatCode="0.00_ "/>
      <alignment horizontal="general" textRotation="0" wrapText="0" indent="0" justifyLastLine="0" shrinkToFit="0" readingOrder="0"/>
    </dxf>
    <dxf>
      <numFmt numFmtId="176" formatCode="0.00_ "/>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numFmt numFmtId="176" formatCode="0.00_ "/>
      <alignment horizontal="general" textRotation="0" wrapText="0" indent="0" justifyLastLine="0" shrinkToFit="0" readingOrder="0"/>
    </dxf>
    <dxf>
      <numFmt numFmtId="176" formatCode="0.00_ "/>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numFmt numFmtId="176" formatCode="0.00_ "/>
      <alignment horizontal="general" textRotation="0" wrapText="0" indent="0" justifyLastLine="0" shrinkToFit="0" readingOrder="0"/>
    </dxf>
    <dxf>
      <numFmt numFmtId="176" formatCode="0.00_ "/>
      <alignment horizontal="general" textRotation="0" wrapText="0" indent="0" justifyLastLine="0" shrinkToFit="0" readingOrder="0"/>
    </dxf>
    <dxf>
      <numFmt numFmtId="14" formatCode="0.00%"/>
      <alignment horizontal="general" textRotation="0" wrapText="0" indent="0" justifyLastLine="0" shrinkToFit="0" readingOrder="0"/>
    </dxf>
    <dxf>
      <numFmt numFmtId="14" formatCode="0.00%"/>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vertical="center" textRotation="0" wrapText="0" indent="0" justifyLastLine="0" shrinkToFit="0" readingOrder="0"/>
    </dxf>
    <dxf>
      <numFmt numFmtId="0" formatCode="General"/>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123825</xdr:rowOff>
        </xdr:from>
        <xdr:to>
          <xdr:col>6</xdr:col>
          <xdr:colOff>104775</xdr:colOff>
          <xdr:row>5</xdr:row>
          <xdr:rowOff>104775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ClassesConfig导出</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F7051F-8139-49AC-9D4D-DFC3D496A829}" name="ID编号" displayName="ID编号" ref="H1:H2" totalsRowShown="0">
  <autoFilter ref="H1:H2" xr:uid="{6CF7051F-8139-49AC-9D4D-DFC3D496A829}"/>
  <tableColumns count="1">
    <tableColumn id="1" xr3:uid="{B97AA4CB-4703-45A8-91B0-F678FF3FDF00}" name="id编号"/>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09665A-041F-4012-94E6-FD2161080D8D}" name="锻材表头" displayName="锻材表头" ref="A1:B48" totalsRowShown="0">
  <autoFilter ref="A1:B48" xr:uid="{7C09665A-041F-4012-94E6-FD2161080D8D}"/>
  <tableColumns count="2">
    <tableColumn id="1" xr3:uid="{5F346CB8-0FA2-470A-A799-79B9510F3948}" name="字段名" dataDxfId="1"/>
    <tableColumn id="2" xr3:uid="{8A4ED522-C472-4D2C-ACFB-ECBAC530A10A}" name="类型"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B91D2F-8756-439D-81DF-ACE4AC7CCFBD}" name="锻材编辑表" displayName="锻材编辑表" ref="B6:AV131" totalsRowShown="0" headerRowDxfId="51" dataDxfId="50">
  <autoFilter ref="B6:AV131" xr:uid="{72B91D2F-8756-439D-81DF-ACE4AC7CCFBD}"/>
  <sortState xmlns:xlrd2="http://schemas.microsoft.com/office/spreadsheetml/2017/richdata2" ref="B7:AV90">
    <sortCondition ref="D6:D90"/>
  </sortState>
  <tableColumns count="47">
    <tableColumn id="1" xr3:uid="{B5B25D4F-13DC-4E67-8AC0-F779558C6451}" name="ID" dataDxfId="49">
      <calculatedColumnFormula>ID编号[id编号]*1000+ROW()-6</calculatedColumnFormula>
    </tableColumn>
    <tableColumn id="2" xr3:uid="{0BAE16E7-5EE5-44B3-91B6-E5C5008C215E}" name="Name" dataDxfId="48"/>
    <tableColumn id="4" xr3:uid="{10654507-F59A-4B38-A177-CFC4F7A2BDA8}" name="ForgeTpye" dataDxfId="47"/>
    <tableColumn id="5" xr3:uid="{D05D5633-106E-47C8-899D-0AE25539A2F6}" name="EquipTpye" dataDxfId="46"/>
    <tableColumn id="37" xr3:uid="{2BB85647-B72B-44A9-9904-C413A5F05E3C}" name="Subclass" dataDxfId="45"/>
    <tableColumn id="38" xr3:uid="{17BB7A68-3152-400A-AFC5-296819C61D0D}" name="DropZone" dataDxfId="44"/>
    <tableColumn id="7" xr3:uid="{C5B47A6B-3FA6-4C14-9210-B7E1E526B978}" name="SecondaryAttribute" dataDxfId="43"/>
    <tableColumn id="3" xr3:uid="{D8A32DE3-0446-4C05-9DDE-3D6F4FA29208}" name="物理伤害" dataDxfId="14">
      <calculatedColumnFormula>INDEX(原始数据!$K$2:$Q$7, MATCH("基础攻击力A", 原始数据!$J$2:$J$7, 0), MATCH($E7, 原始数据!$K$1:$Q$1, 0))&amp;"-"&amp;INDEX(原始数据!$K$2:$Q$7, MATCH("基础攻击力B", 原始数据!$J$2:$J$7, 0), MATCH($E7, 原始数据!$K$1:$Q$1, 0))</calculatedColumnFormula>
    </tableColumn>
    <tableColumn id="6" xr3:uid="{2BB62CAF-974B-4C87-A2CE-12E821BE37B8}" name="能量伤害" dataDxfId="13"/>
    <tableColumn id="8" xr3:uid="{7F22488C-0A51-4F4A-83A4-B8DE885CB467}" name="物理伤害提升百分比" dataDxfId="42"/>
    <tableColumn id="10" xr3:uid="{9F7936DF-1CA8-44C0-9B90-0E71990C7E16}" name="能量伤害提升百分比" dataDxfId="41"/>
    <tableColumn id="11" xr3:uid="{0E4ADBB3-7162-443D-97FC-9A74C0F2BEAD}" name="额外物理伤害" dataDxfId="40"/>
    <tableColumn id="12" xr3:uid="{2642CD9F-81A4-4423-8202-3B22C1F54446}" name="额外能量伤害" dataDxfId="39"/>
    <tableColumn id="13" xr3:uid="{2CFECC7E-71BC-4679-A6DC-81B56D62C91A}" name="物理防御" dataDxfId="38">
      <calculatedColumnFormula>INDEX(原始数据!$K$2:$Q$7, MATCH("基础防御力A", 原始数据!$J$2:$J$7, 0), MATCH($E7, 原始数据!$K$1:$Q$1, 0))&amp;"-"&amp;INDEX(原始数据!$K$2:$Q$7, MATCH("基础防御力B", 原始数据!$J$2:$J$7, 0), MATCH($E7, 原始数据!$K$1:$Q$1, 0))</calculatedColumnFormula>
    </tableColumn>
    <tableColumn id="14" xr3:uid="{DD028399-0FF0-4015-81E6-8EAA0F76A05E}" name="能量防御" dataDxfId="37">
      <calculatedColumnFormula>INDEX(原始数据!$K$2:$Q$7, MATCH("基础攻击力A", 原始数据!$J$2:$J$7, 0), MATCH($E7, 原始数据!$K$1:$Q$1, 0))&amp;"-"&amp;INDEX(原始数据!$K$2:$Q$7, MATCH("基础攻击力B", 原始数据!$J$2:$J$7, 0), MATCH($E7, 原始数据!$K$1:$Q$1, 0))</calculatedColumnFormula>
    </tableColumn>
    <tableColumn id="15" xr3:uid="{CB9C1F29-F2B2-4B5C-A67D-BBD8DE1E8017}" name="物理防御提升百分比" dataDxfId="36"/>
    <tableColumn id="16" xr3:uid="{885431BA-47C1-4606-9957-142D77086B5A}" name="能量防御提升百分比" dataDxfId="35"/>
    <tableColumn id="17" xr3:uid="{1B6F5CB2-B565-4B58-A468-DA7B52C6B393}" name="额外物理防御" dataDxfId="34"/>
    <tableColumn id="18" xr3:uid="{5B9D994B-ED2D-4BDF-A2D1-5E875B8F9FD0}" name="额外能量防御" dataDxfId="33"/>
    <tableColumn id="19" xr3:uid="{4759DED3-37E5-444D-BBE5-CF484643B6DF}" name="暴击率" dataDxfId="32"/>
    <tableColumn id="20" xr3:uid="{61BD9776-061F-4E78-8424-F613D559BAC3}" name="暴击伤害" dataDxfId="31"/>
    <tableColumn id="21" xr3:uid="{10BB27AF-C78F-43D6-94B7-7477CF87FC9A}" name="物理穿透" dataDxfId="30"/>
    <tableColumn id="22" xr3:uid="{48D81D3D-F7A8-474E-9F0C-E4E830589300}" name="能量穿透" dataDxfId="29"/>
    <tableColumn id="23" xr3:uid="{77DC4A34-4CD8-43D8-9102-390E60803ECC}" name="生命偷取概率" dataDxfId="28"/>
    <tableColumn id="24" xr3:uid="{F35C65DD-E531-4955-9B37-17F7A3E6A9FA}" name="生命偷取倍率" dataDxfId="27"/>
    <tableColumn id="25" xr3:uid="{AEB32C19-176B-4F6F-B16E-5C0BB2995EAA}" name="生命值" dataDxfId="12">
      <calculatedColumnFormula>INDEX(原始数据!$K$2:$Q$7, MATCH("基础生命值A", 原始数据!$J$2:$J$7, 0), MATCH($E7, 原始数据!$K$1:$Q$1, 0))&amp;"-"&amp;INDEX(原始数据!$K$2:$Q$7, MATCH("基础生命值B", 原始数据!$J$2:$J$7, 0), MATCH($E7, 原始数据!$K$1:$Q$1, 0))</calculatedColumnFormula>
    </tableColumn>
    <tableColumn id="26" xr3:uid="{185B046F-53CF-4386-8712-159F5563BEB9}" name="生命值提升百分比" dataDxfId="26"/>
    <tableColumn id="27" xr3:uid="{E9B440DC-27BE-434C-8632-F7F2DF4F3965}" name="额外生命值" dataDxfId="25"/>
    <tableColumn id="28" xr3:uid="{09CA8501-B7AE-4DE5-8252-9971DC8A98D2}" name="耐力值" dataDxfId="24"/>
    <tableColumn id="29" xr3:uid="{9ED46CC4-61FB-45E4-BE9F-246444805522}" name="耐力值%" dataDxfId="23"/>
    <tableColumn id="30" xr3:uid="{4467C7F0-3683-45E7-898D-D5EC0E966E29}" name="耐力值回复" dataDxfId="22"/>
    <tableColumn id="31" xr3:uid="{08DCEDD4-3048-4EAE-81C5-99E4257D9CD2}" name="耐力值回复%" dataDxfId="21"/>
    <tableColumn id="32" xr3:uid="{B492A123-17CF-4160-BA48-9E82A4638E4B}" name="法力值" dataDxfId="20"/>
    <tableColumn id="33" xr3:uid="{65997718-2D84-4D95-9461-C738DB26A333}" name="法力值%" dataDxfId="19"/>
    <tableColumn id="34" xr3:uid="{94089FD4-E0FC-4673-BDE1-28C78224B361}" name="法力值回复速率" dataDxfId="18"/>
    <tableColumn id="35" xr3:uid="{4E0CDE10-DCCA-4C07-A8D5-9DE550F9DC58}" name="法力值回复速率%" dataDxfId="17"/>
    <tableColumn id="46" xr3:uid="{C93549CD-E7F2-4675-9F44-0D7A87FEB1D4}" name="基础物理攻击力" dataDxfId="11"/>
    <tableColumn id="47" xr3:uid="{1AC6E01E-1292-40C1-80C4-0AEAA6A67601}" name="基础能量攻击力" dataDxfId="10"/>
    <tableColumn id="42" xr3:uid="{1E9DD1DD-FFF5-444F-BC62-912803EB5CFF}" name="额外物理攻击力" dataDxfId="9"/>
    <tableColumn id="43" xr3:uid="{155BEAE9-B30B-4D3D-965C-114F8CB28A5E}" name="额外能量攻击力" dataDxfId="8"/>
    <tableColumn id="44" xr3:uid="{A07D88BE-89B5-4F4B-A80B-49F79CB4C6DD}" name="基础物理防御力" dataDxfId="7"/>
    <tableColumn id="45" xr3:uid="{DA68F42C-E541-4635-9414-BD6FCDCDB84B}" name="基础能量防御力" dataDxfId="6"/>
    <tableColumn id="41" xr3:uid="{FABC877D-0274-466B-A573-2902C18FBD5C}" name="额外物理防御力" dataDxfId="5"/>
    <tableColumn id="40" xr3:uid="{C676A372-5D22-462B-AF1E-267CD7CA4D9E}" name="额外能量防御力" dataDxfId="4"/>
    <tableColumn id="39" xr3:uid="{8C33B397-CB21-4E6C-8A3C-02084795A264}" name="基础生命力" dataDxfId="3"/>
    <tableColumn id="9" xr3:uid="{2A489815-3FAD-47CE-A745-F51604BEE040}" name="额外生命力" dataDxfId="2"/>
    <tableColumn id="36" xr3:uid="{9E321F4E-C323-4AE4-B9A6-32853BC01ECE}" name="Introduce" dataDxf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9A48C52-9FBB-4DF7-BF6B-067B67A94C31}" name="ForgeConfig" displayName="ForgeConfig" ref="A1:AU127" totalsRowShown="0">
  <autoFilter ref="A1:AU127" xr:uid="{A9A48C52-9FBB-4DF7-BF6B-067B67A94C31}"/>
  <tableColumns count="47">
    <tableColumn id="1" xr3:uid="{EA607E83-D33D-4A0C-97F8-A597B6F3F49E}" name="ID" dataDxfId="15"/>
    <tableColumn id="2" xr3:uid="{2C936235-A1A1-4AEC-BE82-3522BA99D055}" name="Name"/>
    <tableColumn id="141" xr3:uid="{FD9BA95E-9B79-413C-AD26-FB289BFEA12A}" name="ForgeTpye"/>
    <tableColumn id="142" xr3:uid="{9354281E-5858-40C2-9BE6-8D2F0651E5F9}" name="EquipTpye"/>
    <tableColumn id="143" xr3:uid="{7C57566C-BBE9-4410-9E59-9C366D5C3039}" name="Subclass"/>
    <tableColumn id="144" xr3:uid="{0137C188-FCDC-4A97-9774-340DD041C6D3}" name="DropZone"/>
    <tableColumn id="145" xr3:uid="{17C34250-4F05-4695-BA71-69831CBD5A17}" name="SecondaryAttribute"/>
    <tableColumn id="146" xr3:uid="{8EC39CB3-8333-47A1-B47C-55C5C4F7968B}" name="物理伤害"/>
    <tableColumn id="147" xr3:uid="{19BEEFBC-8DFA-47CD-8A4C-59069F80FFA0}" name="能量伤害"/>
    <tableColumn id="148" xr3:uid="{2849B538-7607-43F0-A9F8-33F849B6DE7E}" name="物理伤害提升百分比"/>
    <tableColumn id="149" xr3:uid="{41FC2F29-DEC1-4EF6-A72B-F79BF0255590}" name="能量伤害提升百分比"/>
    <tableColumn id="150" xr3:uid="{384EDAE1-C52D-447E-A7CA-F5D8529207E3}" name="额外物理伤害"/>
    <tableColumn id="151" xr3:uid="{C8FB5475-0B28-40C7-8C95-71B82863C61E}" name="额外能量伤害"/>
    <tableColumn id="152" xr3:uid="{5290A04F-D489-486E-9FC1-DB07A242E917}" name="物理防御"/>
    <tableColumn id="153" xr3:uid="{52AB99CB-487D-4078-AE8F-AE7860979671}" name="能量防御"/>
    <tableColumn id="154" xr3:uid="{CB274E5E-67FB-4821-BCDB-D18A7C074AA9}" name="物理防御提升百分比"/>
    <tableColumn id="155" xr3:uid="{00346760-CC3F-4AC7-B7BC-27B9D31EF7AB}" name="能量防御提升百分比"/>
    <tableColumn id="156" xr3:uid="{610CE207-BC27-46FA-BAE6-1BA17E6674A6}" name="额外物理防御"/>
    <tableColumn id="157" xr3:uid="{9DDCB84A-BCF7-4766-B18F-43056427F7AF}" name="额外能量防御"/>
    <tableColumn id="158" xr3:uid="{B4EA6D9E-EB51-47F1-BF9B-27216E4247D5}" name="暴击率"/>
    <tableColumn id="159" xr3:uid="{67D6F930-DB2B-49F6-9B6C-27EAA2A64A56}" name="暴击伤害"/>
    <tableColumn id="160" xr3:uid="{ECD3BE73-2CE5-47F0-83DC-8D24B2A6AAFD}" name="物理穿透"/>
    <tableColumn id="161" xr3:uid="{969922B4-4F1D-4D6C-9931-D6C13EA3ED1F}" name="能量穿透"/>
    <tableColumn id="162" xr3:uid="{0C6A0C43-9AC9-4F75-824A-05D590D03CCB}" name="生命偷取概率"/>
    <tableColumn id="163" xr3:uid="{53DB1894-B795-4A36-9407-05AD23E7B2DE}" name="生命偷取倍率"/>
    <tableColumn id="164" xr3:uid="{35322AC7-75ED-445E-A976-8692E1C86C28}" name="生命值"/>
    <tableColumn id="165" xr3:uid="{4F881B19-D1A2-450E-BEAC-856E381AD5F5}" name="生命值提升百分比"/>
    <tableColumn id="166" xr3:uid="{60398F4A-ACC2-46A5-BF3B-232009B1A9AE}" name="额外生命值"/>
    <tableColumn id="167" xr3:uid="{F96E9959-E065-42DF-99DA-E9A498050054}" name="耐力值"/>
    <tableColumn id="168" xr3:uid="{296CB531-6B0B-4D90-9F92-271BDD8E7FB1}" name="耐力值%"/>
    <tableColumn id="169" xr3:uid="{ED446088-6C86-4E78-844B-A174EFE5DDB8}" name="耐力值回复"/>
    <tableColumn id="170" xr3:uid="{AD33C717-AB18-46C1-B5E6-708B3C4596F1}" name="耐力值回复%"/>
    <tableColumn id="171" xr3:uid="{1AC3E3A3-4202-4A97-B9DA-0DF4182CE1E4}" name="法力值"/>
    <tableColumn id="172" xr3:uid="{2C89598C-7428-4F51-8EC3-768B0F14A611}" name="法力值%"/>
    <tableColumn id="173" xr3:uid="{1C519C52-385C-4BAE-AA6B-86ADC0AD1564}" name="法力值回复速率"/>
    <tableColumn id="174" xr3:uid="{1B488B96-DD00-445D-A664-B3D986B098B6}" name="法力值回复速率%"/>
    <tableColumn id="175" xr3:uid="{2EF2F883-C1A8-4872-9C81-C348B4481208}" name="基础物理攻击力"/>
    <tableColumn id="176" xr3:uid="{94FBC6D2-917D-47AF-B1D1-2AD0ACF9D7CF}" name="基础能量攻击力"/>
    <tableColumn id="177" xr3:uid="{64CDB7B7-E535-43DB-B41B-0F609A8760D0}" name="额外物理攻击力"/>
    <tableColumn id="178" xr3:uid="{13565BC4-62A4-4987-B261-A987FD45CBAC}" name="额外能量攻击力"/>
    <tableColumn id="179" xr3:uid="{BB8E1980-B3A2-43FD-9335-69F9C057073A}" name="基础物理防御力"/>
    <tableColumn id="180" xr3:uid="{21F76B93-8775-4E0E-9CDA-8178105E3422}" name="基础能量防御力"/>
    <tableColumn id="181" xr3:uid="{48C14688-9AD8-4C9C-810C-2BADFB4EDF31}" name="额外物理防御力"/>
    <tableColumn id="182" xr3:uid="{7F25CD68-AC5F-47D9-930A-C39563605D95}" name="额外能量防御力"/>
    <tableColumn id="183" xr3:uid="{8543F167-05A8-4603-A73C-68A250C7FF23}" name="基础生命力"/>
    <tableColumn id="184" xr3:uid="{6BD9930D-9D07-4C28-9963-6169F53D73AA}" name="额外生命力"/>
    <tableColumn id="185" xr3:uid="{2179688D-7372-449B-991F-9CF68555B177}" name="Introdu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49E10-AE00-4F9D-9FE8-675CEA2B5C09}">
  <sheetPr codeName="Sheet1"/>
  <dimension ref="A1:H48"/>
  <sheetViews>
    <sheetView workbookViewId="0">
      <selection activeCell="G13" sqref="G13"/>
    </sheetView>
  </sheetViews>
  <sheetFormatPr defaultRowHeight="14.25" x14ac:dyDescent="0.2"/>
  <cols>
    <col min="1" max="1" width="11.25" bestFit="1" customWidth="1"/>
  </cols>
  <sheetData>
    <row r="1" spans="1:8" x14ac:dyDescent="0.2">
      <c r="A1" t="s">
        <v>10</v>
      </c>
      <c r="B1" t="s">
        <v>11</v>
      </c>
      <c r="H1" t="s">
        <v>0</v>
      </c>
    </row>
    <row r="2" spans="1:8" x14ac:dyDescent="0.2">
      <c r="A2" s="1" t="s">
        <v>8</v>
      </c>
      <c r="B2" s="1" t="s">
        <v>6</v>
      </c>
      <c r="H2">
        <v>108</v>
      </c>
    </row>
    <row r="3" spans="1:8" x14ac:dyDescent="0.2">
      <c r="A3" s="1" t="s">
        <v>9</v>
      </c>
      <c r="B3" s="1" t="s">
        <v>12</v>
      </c>
    </row>
    <row r="4" spans="1:8" x14ac:dyDescent="0.2">
      <c r="A4" t="s">
        <v>17</v>
      </c>
      <c r="B4" s="1" t="s">
        <v>14</v>
      </c>
    </row>
    <row r="5" spans="1:8" x14ac:dyDescent="0.2">
      <c r="A5" t="s">
        <v>13</v>
      </c>
      <c r="B5" s="1" t="s">
        <v>14</v>
      </c>
    </row>
    <row r="6" spans="1:8" x14ac:dyDescent="0.2">
      <c r="A6" t="s">
        <v>106</v>
      </c>
      <c r="B6" s="1" t="s">
        <v>14</v>
      </c>
    </row>
    <row r="7" spans="1:8" x14ac:dyDescent="0.2">
      <c r="A7" t="s">
        <v>227</v>
      </c>
      <c r="B7" s="1" t="s">
        <v>14</v>
      </c>
    </row>
    <row r="8" spans="1:8" x14ac:dyDescent="0.2">
      <c r="A8" t="s">
        <v>226</v>
      </c>
      <c r="B8" s="1" t="s">
        <v>12</v>
      </c>
    </row>
    <row r="9" spans="1:8" x14ac:dyDescent="0.2">
      <c r="A9" s="12" t="s">
        <v>471</v>
      </c>
      <c r="B9" s="1" t="s">
        <v>12</v>
      </c>
    </row>
    <row r="10" spans="1:8" x14ac:dyDescent="0.2">
      <c r="A10" s="12" t="s">
        <v>472</v>
      </c>
      <c r="B10" s="1" t="s">
        <v>12</v>
      </c>
    </row>
    <row r="11" spans="1:8" x14ac:dyDescent="0.2">
      <c r="A11" s="13" t="s">
        <v>477</v>
      </c>
      <c r="B11" s="1" t="s">
        <v>12</v>
      </c>
    </row>
    <row r="12" spans="1:8" x14ac:dyDescent="0.2">
      <c r="A12" s="13" t="s">
        <v>478</v>
      </c>
      <c r="B12" s="1" t="s">
        <v>12</v>
      </c>
    </row>
    <row r="13" spans="1:8" x14ac:dyDescent="0.2">
      <c r="A13" s="12" t="s">
        <v>473</v>
      </c>
      <c r="B13" s="1" t="s">
        <v>12</v>
      </c>
    </row>
    <row r="14" spans="1:8" x14ac:dyDescent="0.2">
      <c r="A14" s="12" t="s">
        <v>474</v>
      </c>
      <c r="B14" s="1" t="s">
        <v>12</v>
      </c>
    </row>
    <row r="15" spans="1:8" x14ac:dyDescent="0.2">
      <c r="A15" s="12" t="s">
        <v>475</v>
      </c>
      <c r="B15" s="1" t="s">
        <v>12</v>
      </c>
    </row>
    <row r="16" spans="1:8" x14ac:dyDescent="0.2">
      <c r="A16" s="12" t="s">
        <v>476</v>
      </c>
      <c r="B16" s="1" t="s">
        <v>12</v>
      </c>
    </row>
    <row r="17" spans="1:2" x14ac:dyDescent="0.2">
      <c r="A17" s="13" t="s">
        <v>479</v>
      </c>
      <c r="B17" s="1" t="s">
        <v>12</v>
      </c>
    </row>
    <row r="18" spans="1:2" x14ac:dyDescent="0.2">
      <c r="A18" s="13" t="s">
        <v>480</v>
      </c>
      <c r="B18" s="1" t="s">
        <v>12</v>
      </c>
    </row>
    <row r="19" spans="1:2" x14ac:dyDescent="0.2">
      <c r="A19" s="12" t="s">
        <v>89</v>
      </c>
      <c r="B19" s="1" t="s">
        <v>12</v>
      </c>
    </row>
    <row r="20" spans="1:2" x14ac:dyDescent="0.2">
      <c r="A20" s="12" t="s">
        <v>90</v>
      </c>
      <c r="B20" s="1" t="s">
        <v>12</v>
      </c>
    </row>
    <row r="21" spans="1:2" x14ac:dyDescent="0.2">
      <c r="A21" s="13" t="s">
        <v>91</v>
      </c>
      <c r="B21" s="1" t="s">
        <v>12</v>
      </c>
    </row>
    <row r="22" spans="1:2" x14ac:dyDescent="0.2">
      <c r="A22" s="13" t="s">
        <v>92</v>
      </c>
      <c r="B22" s="1" t="s">
        <v>12</v>
      </c>
    </row>
    <row r="23" spans="1:2" x14ac:dyDescent="0.2">
      <c r="A23" s="13" t="s">
        <v>93</v>
      </c>
      <c r="B23" s="1" t="s">
        <v>12</v>
      </c>
    </row>
    <row r="24" spans="1:2" x14ac:dyDescent="0.2">
      <c r="A24" s="13" t="s">
        <v>94</v>
      </c>
      <c r="B24" s="1" t="s">
        <v>12</v>
      </c>
    </row>
    <row r="25" spans="1:2" x14ac:dyDescent="0.2">
      <c r="A25" s="13" t="s">
        <v>95</v>
      </c>
      <c r="B25" s="1" t="s">
        <v>12</v>
      </c>
    </row>
    <row r="26" spans="1:2" x14ac:dyDescent="0.2">
      <c r="A26" s="13" t="s">
        <v>96</v>
      </c>
      <c r="B26" s="1" t="s">
        <v>12</v>
      </c>
    </row>
    <row r="27" spans="1:2" x14ac:dyDescent="0.2">
      <c r="A27" s="12" t="s">
        <v>481</v>
      </c>
      <c r="B27" s="1" t="s">
        <v>12</v>
      </c>
    </row>
    <row r="28" spans="1:2" x14ac:dyDescent="0.2">
      <c r="A28" s="13" t="s">
        <v>482</v>
      </c>
      <c r="B28" s="1" t="s">
        <v>12</v>
      </c>
    </row>
    <row r="29" spans="1:2" x14ac:dyDescent="0.2">
      <c r="A29" s="12" t="s">
        <v>97</v>
      </c>
      <c r="B29" s="1" t="s">
        <v>12</v>
      </c>
    </row>
    <row r="30" spans="1:2" x14ac:dyDescent="0.2">
      <c r="A30" s="12" t="s">
        <v>483</v>
      </c>
      <c r="B30" s="1" t="s">
        <v>12</v>
      </c>
    </row>
    <row r="31" spans="1:2" x14ac:dyDescent="0.2">
      <c r="A31" s="13" t="s">
        <v>489</v>
      </c>
      <c r="B31" s="1" t="s">
        <v>12</v>
      </c>
    </row>
    <row r="32" spans="1:2" x14ac:dyDescent="0.2">
      <c r="A32" s="12" t="s">
        <v>484</v>
      </c>
      <c r="B32" s="1" t="s">
        <v>12</v>
      </c>
    </row>
    <row r="33" spans="1:2" x14ac:dyDescent="0.2">
      <c r="A33" s="13" t="s">
        <v>485</v>
      </c>
      <c r="B33" s="1" t="s">
        <v>12</v>
      </c>
    </row>
    <row r="34" spans="1:2" x14ac:dyDescent="0.2">
      <c r="A34" s="12" t="s">
        <v>486</v>
      </c>
      <c r="B34" s="1" t="s">
        <v>12</v>
      </c>
    </row>
    <row r="35" spans="1:2" x14ac:dyDescent="0.2">
      <c r="A35" s="13" t="s">
        <v>490</v>
      </c>
      <c r="B35" s="1" t="s">
        <v>12</v>
      </c>
    </row>
    <row r="36" spans="1:2" x14ac:dyDescent="0.2">
      <c r="A36" s="12" t="s">
        <v>487</v>
      </c>
      <c r="B36" s="1" t="s">
        <v>12</v>
      </c>
    </row>
    <row r="37" spans="1:2" x14ac:dyDescent="0.2">
      <c r="A37" s="13" t="s">
        <v>488</v>
      </c>
      <c r="B37" s="1" t="s">
        <v>12</v>
      </c>
    </row>
    <row r="38" spans="1:2" x14ac:dyDescent="0.2">
      <c r="A38" s="13" t="s">
        <v>461</v>
      </c>
      <c r="B38" s="1" t="s">
        <v>12</v>
      </c>
    </row>
    <row r="39" spans="1:2" x14ac:dyDescent="0.2">
      <c r="A39" s="13" t="s">
        <v>464</v>
      </c>
      <c r="B39" s="1" t="s">
        <v>12</v>
      </c>
    </row>
    <row r="40" spans="1:2" x14ac:dyDescent="0.2">
      <c r="A40" s="13" t="s">
        <v>465</v>
      </c>
      <c r="B40" s="1" t="s">
        <v>12</v>
      </c>
    </row>
    <row r="41" spans="1:2" x14ac:dyDescent="0.2">
      <c r="A41" s="13" t="s">
        <v>466</v>
      </c>
      <c r="B41" s="1" t="s">
        <v>12</v>
      </c>
    </row>
    <row r="42" spans="1:2" x14ac:dyDescent="0.2">
      <c r="A42" s="13" t="s">
        <v>467</v>
      </c>
      <c r="B42" s="1" t="s">
        <v>12</v>
      </c>
    </row>
    <row r="43" spans="1:2" x14ac:dyDescent="0.2">
      <c r="A43" s="13" t="s">
        <v>468</v>
      </c>
      <c r="B43" s="1" t="s">
        <v>12</v>
      </c>
    </row>
    <row r="44" spans="1:2" x14ac:dyDescent="0.2">
      <c r="A44" s="13" t="s">
        <v>469</v>
      </c>
      <c r="B44" s="1" t="s">
        <v>12</v>
      </c>
    </row>
    <row r="45" spans="1:2" x14ac:dyDescent="0.2">
      <c r="A45" s="13" t="s">
        <v>470</v>
      </c>
      <c r="B45" s="1" t="s">
        <v>12</v>
      </c>
    </row>
    <row r="46" spans="1:2" x14ac:dyDescent="0.2">
      <c r="A46" s="13" t="s">
        <v>416</v>
      </c>
      <c r="B46" s="1" t="s">
        <v>12</v>
      </c>
    </row>
    <row r="47" spans="1:2" x14ac:dyDescent="0.2">
      <c r="A47" s="13" t="s">
        <v>417</v>
      </c>
      <c r="B47" s="1" t="s">
        <v>12</v>
      </c>
    </row>
    <row r="48" spans="1:2" x14ac:dyDescent="0.2">
      <c r="A48" t="s">
        <v>228</v>
      </c>
      <c r="B48" s="1" t="s">
        <v>12</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nfig">
                <anchor moveWithCells="1" sizeWithCells="1">
                  <from>
                    <xdr:col>2</xdr:col>
                    <xdr:colOff>381000</xdr:colOff>
                    <xdr:row>1</xdr:row>
                    <xdr:rowOff>123825</xdr:rowOff>
                  </from>
                  <to>
                    <xdr:col>6</xdr:col>
                    <xdr:colOff>104775</xdr:colOff>
                    <xdr:row>5</xdr:row>
                    <xdr:rowOff>104775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V150"/>
  <sheetViews>
    <sheetView zoomScale="84" zoomScaleNormal="84" workbookViewId="0">
      <pane xSplit="3" ySplit="6" topLeftCell="M7" activePane="bottomRight" state="frozen"/>
      <selection pane="topRight" activeCell="D1" sqref="D1"/>
      <selection pane="bottomLeft" activeCell="A7" sqref="A7"/>
      <selection pane="bottomRight" activeCell="AE2" sqref="AE2"/>
    </sheetView>
  </sheetViews>
  <sheetFormatPr defaultRowHeight="14.25" x14ac:dyDescent="0.2"/>
  <cols>
    <col min="2" max="2" width="9.5" bestFit="1" customWidth="1"/>
    <col min="3" max="3" width="13" bestFit="1" customWidth="1"/>
    <col min="4" max="4" width="14.125" bestFit="1" customWidth="1"/>
    <col min="5" max="5" width="12.5" bestFit="1" customWidth="1"/>
    <col min="6" max="6" width="15.125" bestFit="1" customWidth="1"/>
    <col min="7" max="7" width="12.5" customWidth="1"/>
    <col min="8" max="8" width="11" bestFit="1" customWidth="1"/>
    <col min="9" max="9" width="13.625" style="12" bestFit="1" customWidth="1"/>
    <col min="10" max="10" width="13" style="12" bestFit="1" customWidth="1"/>
    <col min="11" max="12" width="13.625" style="13" bestFit="1" customWidth="1"/>
    <col min="13" max="16" width="13" style="12" bestFit="1" customWidth="1"/>
    <col min="17" max="18" width="13.625" style="13" bestFit="1" customWidth="1"/>
    <col min="19" max="20" width="13" style="12" bestFit="1" customWidth="1"/>
    <col min="21" max="21" width="11.375" style="13" bestFit="1" customWidth="1"/>
    <col min="22" max="22" width="13.625" style="13" bestFit="1" customWidth="1"/>
    <col min="23" max="24" width="11.375" style="13" bestFit="1" customWidth="1"/>
    <col min="25" max="25" width="13" style="13" bestFit="1" customWidth="1"/>
    <col min="26" max="26" width="13.625" style="13" bestFit="1" customWidth="1"/>
    <col min="27" max="27" width="11" style="12" bestFit="1" customWidth="1"/>
    <col min="28" max="28" width="11.375" style="13" bestFit="1" customWidth="1"/>
    <col min="29" max="30" width="11" style="12" bestFit="1" customWidth="1"/>
    <col min="31" max="31" width="17.375" style="13" bestFit="1" customWidth="1"/>
    <col min="32" max="32" width="11" style="12" bestFit="1" customWidth="1"/>
    <col min="33" max="33" width="15.125" style="13" bestFit="1" customWidth="1"/>
    <col min="34" max="34" width="11" style="12" bestFit="1" customWidth="1"/>
    <col min="35" max="35" width="15.125" style="13" bestFit="1" customWidth="1"/>
    <col min="36" max="36" width="11" style="12" bestFit="1" customWidth="1"/>
    <col min="37" max="37" width="15.125" style="13" bestFit="1" customWidth="1"/>
    <col min="38" max="47" width="15.125" style="13" customWidth="1"/>
  </cols>
  <sheetData>
    <row r="1" spans="1:48" x14ac:dyDescent="0.2">
      <c r="A1" s="1" t="s">
        <v>1</v>
      </c>
      <c r="B1" s="1">
        <v>0</v>
      </c>
      <c r="C1" s="1">
        <v>1</v>
      </c>
      <c r="D1" s="1">
        <v>2</v>
      </c>
      <c r="E1" s="1">
        <v>3</v>
      </c>
      <c r="F1" s="1">
        <v>4</v>
      </c>
      <c r="G1" s="1">
        <v>5</v>
      </c>
      <c r="H1" s="1">
        <v>6</v>
      </c>
      <c r="I1" s="1">
        <v>7</v>
      </c>
      <c r="J1" s="1">
        <v>8</v>
      </c>
      <c r="K1" s="1">
        <v>9</v>
      </c>
      <c r="L1" s="1">
        <v>10</v>
      </c>
      <c r="M1" s="1">
        <v>11</v>
      </c>
      <c r="N1" s="1">
        <v>12</v>
      </c>
      <c r="O1" s="1">
        <v>13</v>
      </c>
      <c r="P1" s="1">
        <v>14</v>
      </c>
      <c r="Q1" s="1">
        <v>15</v>
      </c>
      <c r="R1" s="1">
        <v>16</v>
      </c>
      <c r="S1" s="1">
        <v>17</v>
      </c>
      <c r="T1" s="1">
        <v>18</v>
      </c>
      <c r="U1" s="1">
        <v>19</v>
      </c>
      <c r="V1" s="1">
        <v>20</v>
      </c>
      <c r="W1" s="1">
        <v>21</v>
      </c>
      <c r="X1" s="1">
        <v>22</v>
      </c>
      <c r="Y1" s="1">
        <v>23</v>
      </c>
      <c r="Z1" s="1">
        <v>24</v>
      </c>
      <c r="AA1" s="1">
        <v>25</v>
      </c>
      <c r="AB1" s="1">
        <v>26</v>
      </c>
      <c r="AC1" s="1">
        <v>27</v>
      </c>
      <c r="AD1" s="1">
        <v>28</v>
      </c>
      <c r="AE1" s="1">
        <v>29</v>
      </c>
      <c r="AF1" s="1">
        <v>30</v>
      </c>
      <c r="AG1" s="1">
        <v>31</v>
      </c>
      <c r="AH1" s="1">
        <v>32</v>
      </c>
      <c r="AI1" s="1">
        <v>33</v>
      </c>
      <c r="AJ1" s="1">
        <v>34</v>
      </c>
      <c r="AK1" s="1">
        <v>35</v>
      </c>
      <c r="AL1" s="1">
        <v>36</v>
      </c>
      <c r="AM1" s="1">
        <v>37</v>
      </c>
      <c r="AN1" s="1">
        <v>38</v>
      </c>
      <c r="AO1" s="1">
        <v>39</v>
      </c>
      <c r="AP1" s="1">
        <v>40</v>
      </c>
      <c r="AQ1" s="1">
        <v>41</v>
      </c>
      <c r="AR1" s="1">
        <v>42</v>
      </c>
      <c r="AS1" s="1">
        <v>43</v>
      </c>
      <c r="AT1" s="1">
        <v>44</v>
      </c>
      <c r="AU1" s="1">
        <v>45</v>
      </c>
      <c r="AV1" s="1">
        <v>42</v>
      </c>
    </row>
    <row r="2" spans="1:48" x14ac:dyDescent="0.2">
      <c r="A2" s="1" t="s">
        <v>2</v>
      </c>
      <c r="B2" s="1" t="s">
        <v>16</v>
      </c>
      <c r="C2" s="1" t="s">
        <v>15</v>
      </c>
      <c r="D2" t="s">
        <v>18</v>
      </c>
      <c r="E2" t="s">
        <v>19</v>
      </c>
      <c r="F2" s="1" t="s">
        <v>105</v>
      </c>
      <c r="G2" s="1" t="s">
        <v>108</v>
      </c>
      <c r="H2" t="s">
        <v>136</v>
      </c>
      <c r="I2" s="12" t="s">
        <v>471</v>
      </c>
      <c r="J2" s="12" t="s">
        <v>472</v>
      </c>
      <c r="K2" s="13" t="s">
        <v>477</v>
      </c>
      <c r="L2" s="13" t="s">
        <v>478</v>
      </c>
      <c r="M2" s="12" t="s">
        <v>473</v>
      </c>
      <c r="N2" s="12" t="s">
        <v>474</v>
      </c>
      <c r="O2" s="12" t="s">
        <v>475</v>
      </c>
      <c r="P2" s="12" t="s">
        <v>476</v>
      </c>
      <c r="Q2" s="13" t="s">
        <v>479</v>
      </c>
      <c r="R2" s="13" t="s">
        <v>480</v>
      </c>
      <c r="S2" s="12" t="s">
        <v>89</v>
      </c>
      <c r="T2" s="12" t="s">
        <v>90</v>
      </c>
      <c r="U2" s="13" t="s">
        <v>91</v>
      </c>
      <c r="V2" s="13" t="s">
        <v>92</v>
      </c>
      <c r="W2" s="13" t="s">
        <v>93</v>
      </c>
      <c r="X2" s="13" t="s">
        <v>94</v>
      </c>
      <c r="Y2" s="13" t="s">
        <v>95</v>
      </c>
      <c r="Z2" s="13" t="s">
        <v>96</v>
      </c>
      <c r="AA2" s="12" t="s">
        <v>481</v>
      </c>
      <c r="AB2" s="13" t="s">
        <v>482</v>
      </c>
      <c r="AC2" s="12" t="s">
        <v>97</v>
      </c>
      <c r="AD2" s="12" t="s">
        <v>483</v>
      </c>
      <c r="AE2" s="13" t="s">
        <v>489</v>
      </c>
      <c r="AF2" s="12" t="s">
        <v>484</v>
      </c>
      <c r="AG2" s="13" t="s">
        <v>485</v>
      </c>
      <c r="AH2" s="12" t="s">
        <v>486</v>
      </c>
      <c r="AI2" s="13" t="s">
        <v>490</v>
      </c>
      <c r="AJ2" s="12" t="s">
        <v>487</v>
      </c>
      <c r="AK2" s="13" t="s">
        <v>488</v>
      </c>
      <c r="AL2" s="13" t="s">
        <v>461</v>
      </c>
      <c r="AM2" s="13" t="s">
        <v>464</v>
      </c>
      <c r="AN2" s="13" t="s">
        <v>465</v>
      </c>
      <c r="AO2" s="13" t="s">
        <v>466</v>
      </c>
      <c r="AP2" s="13" t="s">
        <v>467</v>
      </c>
      <c r="AQ2" s="13" t="s">
        <v>468</v>
      </c>
      <c r="AR2" s="13" t="s">
        <v>469</v>
      </c>
      <c r="AS2" s="13" t="s">
        <v>470</v>
      </c>
      <c r="AT2" s="13" t="s">
        <v>416</v>
      </c>
      <c r="AU2" s="13" t="s">
        <v>417</v>
      </c>
      <c r="AV2" s="1" t="s">
        <v>88</v>
      </c>
    </row>
    <row r="3" spans="1:48" s="2" customFormat="1" ht="114" x14ac:dyDescent="0.2">
      <c r="A3" s="11" t="s">
        <v>3</v>
      </c>
      <c r="B3" s="11"/>
      <c r="C3" s="11"/>
      <c r="D3" s="2" t="s">
        <v>86</v>
      </c>
      <c r="E3" s="2" t="s">
        <v>87</v>
      </c>
      <c r="F3" s="2" t="s">
        <v>107</v>
      </c>
      <c r="G3" s="2" t="s">
        <v>219</v>
      </c>
      <c r="H3" s="18" t="s">
        <v>136</v>
      </c>
      <c r="I3" s="19" t="s">
        <v>462</v>
      </c>
      <c r="J3" s="19" t="s">
        <v>462</v>
      </c>
      <c r="K3" s="19" t="s">
        <v>462</v>
      </c>
      <c r="L3" s="19" t="s">
        <v>462</v>
      </c>
      <c r="M3" s="19" t="s">
        <v>462</v>
      </c>
      <c r="N3" s="19" t="s">
        <v>462</v>
      </c>
      <c r="O3" s="19" t="s">
        <v>462</v>
      </c>
      <c r="P3" s="19" t="s">
        <v>462</v>
      </c>
      <c r="Q3" s="19" t="s">
        <v>462</v>
      </c>
      <c r="R3" s="19" t="s">
        <v>462</v>
      </c>
      <c r="S3" s="19" t="s">
        <v>462</v>
      </c>
      <c r="T3" s="19" t="s">
        <v>462</v>
      </c>
      <c r="U3" s="19" t="s">
        <v>462</v>
      </c>
      <c r="V3" s="19" t="s">
        <v>462</v>
      </c>
      <c r="W3" s="19" t="s">
        <v>462</v>
      </c>
      <c r="X3" s="19" t="s">
        <v>462</v>
      </c>
      <c r="Y3" s="19" t="s">
        <v>462</v>
      </c>
      <c r="Z3" s="19" t="s">
        <v>462</v>
      </c>
      <c r="AA3" s="19" t="s">
        <v>462</v>
      </c>
      <c r="AB3" s="19" t="s">
        <v>462</v>
      </c>
      <c r="AC3" s="19" t="s">
        <v>462</v>
      </c>
      <c r="AD3" s="19" t="s">
        <v>462</v>
      </c>
      <c r="AE3" s="19" t="s">
        <v>462</v>
      </c>
      <c r="AF3" s="19" t="s">
        <v>462</v>
      </c>
      <c r="AG3" s="19" t="s">
        <v>462</v>
      </c>
      <c r="AH3" s="19" t="s">
        <v>462</v>
      </c>
      <c r="AI3" s="19" t="s">
        <v>462</v>
      </c>
      <c r="AJ3" s="19" t="s">
        <v>462</v>
      </c>
      <c r="AK3" s="19" t="s">
        <v>462</v>
      </c>
      <c r="AL3" s="20" t="s">
        <v>463</v>
      </c>
      <c r="AM3" s="20" t="s">
        <v>463</v>
      </c>
      <c r="AN3" s="20" t="s">
        <v>463</v>
      </c>
      <c r="AO3" s="20" t="s">
        <v>463</v>
      </c>
      <c r="AP3" s="20" t="s">
        <v>463</v>
      </c>
      <c r="AQ3" s="20" t="s">
        <v>463</v>
      </c>
      <c r="AR3" s="20" t="s">
        <v>463</v>
      </c>
      <c r="AS3" s="20" t="s">
        <v>463</v>
      </c>
      <c r="AT3" s="20" t="s">
        <v>463</v>
      </c>
      <c r="AU3" s="20" t="s">
        <v>463</v>
      </c>
    </row>
    <row r="4" spans="1:48" x14ac:dyDescent="0.2">
      <c r="A4" s="1" t="s">
        <v>4</v>
      </c>
      <c r="B4" s="1"/>
      <c r="C4" s="1"/>
      <c r="F4" t="s">
        <v>109</v>
      </c>
    </row>
    <row r="5" spans="1:48" x14ac:dyDescent="0.2">
      <c r="A5" s="1" t="s">
        <v>5</v>
      </c>
      <c r="B5" s="1" t="s">
        <v>6</v>
      </c>
      <c r="C5" s="1" t="s">
        <v>12</v>
      </c>
      <c r="D5" s="1" t="s">
        <v>14</v>
      </c>
      <c r="E5" s="1" t="s">
        <v>14</v>
      </c>
      <c r="F5" s="1" t="s">
        <v>14</v>
      </c>
      <c r="G5" s="1" t="s">
        <v>14</v>
      </c>
      <c r="H5" s="1" t="s">
        <v>12</v>
      </c>
      <c r="I5" s="1" t="s">
        <v>12</v>
      </c>
      <c r="J5" s="1" t="s">
        <v>12</v>
      </c>
      <c r="K5" s="1" t="s">
        <v>12</v>
      </c>
      <c r="L5" s="1" t="s">
        <v>12</v>
      </c>
      <c r="M5" s="1" t="s">
        <v>12</v>
      </c>
      <c r="N5" s="1" t="s">
        <v>12</v>
      </c>
      <c r="O5" s="1" t="s">
        <v>12</v>
      </c>
      <c r="P5" s="1" t="s">
        <v>12</v>
      </c>
      <c r="Q5" s="1" t="s">
        <v>12</v>
      </c>
      <c r="R5" s="1" t="s">
        <v>12</v>
      </c>
      <c r="S5" s="1" t="s">
        <v>12</v>
      </c>
      <c r="T5" s="1" t="s">
        <v>12</v>
      </c>
      <c r="U5" s="1" t="s">
        <v>12</v>
      </c>
      <c r="V5" s="1" t="s">
        <v>12</v>
      </c>
      <c r="W5" s="1" t="s">
        <v>12</v>
      </c>
      <c r="X5" s="1" t="s">
        <v>12</v>
      </c>
      <c r="Y5" s="1" t="s">
        <v>12</v>
      </c>
      <c r="Z5" s="1" t="s">
        <v>12</v>
      </c>
      <c r="AA5" s="1" t="s">
        <v>12</v>
      </c>
      <c r="AB5" s="1" t="s">
        <v>12</v>
      </c>
      <c r="AC5" s="1" t="s">
        <v>12</v>
      </c>
      <c r="AD5" s="1" t="s">
        <v>12</v>
      </c>
      <c r="AE5" s="1" t="s">
        <v>12</v>
      </c>
      <c r="AF5" s="1" t="s">
        <v>12</v>
      </c>
      <c r="AG5" s="1" t="s">
        <v>12</v>
      </c>
      <c r="AH5" s="1" t="s">
        <v>12</v>
      </c>
      <c r="AI5" s="1" t="s">
        <v>12</v>
      </c>
      <c r="AJ5" s="1" t="s">
        <v>12</v>
      </c>
      <c r="AK5" s="1" t="s">
        <v>12</v>
      </c>
      <c r="AL5" s="1" t="s">
        <v>12</v>
      </c>
      <c r="AM5" s="1" t="s">
        <v>12</v>
      </c>
      <c r="AN5" s="1" t="s">
        <v>12</v>
      </c>
      <c r="AO5" s="1" t="s">
        <v>12</v>
      </c>
      <c r="AP5" s="1" t="s">
        <v>12</v>
      </c>
      <c r="AQ5" s="1" t="s">
        <v>12</v>
      </c>
      <c r="AR5" s="1" t="s">
        <v>12</v>
      </c>
      <c r="AS5" s="1" t="s">
        <v>12</v>
      </c>
      <c r="AT5" s="1" t="s">
        <v>12</v>
      </c>
      <c r="AU5" s="1" t="s">
        <v>12</v>
      </c>
      <c r="AV5" s="1" t="s">
        <v>12</v>
      </c>
    </row>
    <row r="6" spans="1:48" x14ac:dyDescent="0.2">
      <c r="A6" s="1" t="s">
        <v>7</v>
      </c>
      <c r="B6" s="1" t="s">
        <v>8</v>
      </c>
      <c r="C6" s="1" t="s">
        <v>9</v>
      </c>
      <c r="D6" t="s">
        <v>17</v>
      </c>
      <c r="E6" t="s">
        <v>13</v>
      </c>
      <c r="F6" t="s">
        <v>106</v>
      </c>
      <c r="G6" t="s">
        <v>227</v>
      </c>
      <c r="H6" t="s">
        <v>226</v>
      </c>
      <c r="I6" s="12" t="s">
        <v>471</v>
      </c>
      <c r="J6" s="12" t="s">
        <v>472</v>
      </c>
      <c r="K6" s="13" t="s">
        <v>477</v>
      </c>
      <c r="L6" s="13" t="s">
        <v>478</v>
      </c>
      <c r="M6" s="12" t="s">
        <v>473</v>
      </c>
      <c r="N6" s="12" t="s">
        <v>474</v>
      </c>
      <c r="O6" s="12" t="s">
        <v>475</v>
      </c>
      <c r="P6" s="12" t="s">
        <v>476</v>
      </c>
      <c r="Q6" s="13" t="s">
        <v>479</v>
      </c>
      <c r="R6" s="13" t="s">
        <v>480</v>
      </c>
      <c r="S6" s="12" t="s">
        <v>89</v>
      </c>
      <c r="T6" s="12" t="s">
        <v>90</v>
      </c>
      <c r="U6" s="13" t="s">
        <v>91</v>
      </c>
      <c r="V6" s="13" t="s">
        <v>92</v>
      </c>
      <c r="W6" s="13" t="s">
        <v>93</v>
      </c>
      <c r="X6" s="13" t="s">
        <v>94</v>
      </c>
      <c r="Y6" s="13" t="s">
        <v>95</v>
      </c>
      <c r="Z6" s="13" t="s">
        <v>96</v>
      </c>
      <c r="AA6" s="12" t="s">
        <v>481</v>
      </c>
      <c r="AB6" s="13" t="s">
        <v>482</v>
      </c>
      <c r="AC6" s="12" t="s">
        <v>97</v>
      </c>
      <c r="AD6" s="12" t="s">
        <v>483</v>
      </c>
      <c r="AE6" s="13" t="s">
        <v>489</v>
      </c>
      <c r="AF6" s="12" t="s">
        <v>484</v>
      </c>
      <c r="AG6" s="13" t="s">
        <v>485</v>
      </c>
      <c r="AH6" s="12" t="s">
        <v>486</v>
      </c>
      <c r="AI6" s="13" t="s">
        <v>490</v>
      </c>
      <c r="AJ6" s="12" t="s">
        <v>487</v>
      </c>
      <c r="AK6" s="13" t="s">
        <v>488</v>
      </c>
      <c r="AL6" s="13" t="s">
        <v>461</v>
      </c>
      <c r="AM6" s="13" t="s">
        <v>464</v>
      </c>
      <c r="AN6" s="13" t="s">
        <v>465</v>
      </c>
      <c r="AO6" s="13" t="s">
        <v>466</v>
      </c>
      <c r="AP6" s="13" t="s">
        <v>467</v>
      </c>
      <c r="AQ6" s="13" t="s">
        <v>468</v>
      </c>
      <c r="AR6" s="13" t="s">
        <v>469</v>
      </c>
      <c r="AS6" s="13" t="s">
        <v>470</v>
      </c>
      <c r="AT6" s="13" t="s">
        <v>416</v>
      </c>
      <c r="AU6" s="13" t="s">
        <v>417</v>
      </c>
      <c r="AV6" t="s">
        <v>228</v>
      </c>
    </row>
    <row r="7" spans="1:48" x14ac:dyDescent="0.2">
      <c r="B7">
        <f>ID编号[id编号]*1000+ROW()-6</f>
        <v>108001</v>
      </c>
      <c r="C7" s="1" t="s">
        <v>20</v>
      </c>
      <c r="D7">
        <v>0</v>
      </c>
      <c r="E7">
        <v>1</v>
      </c>
      <c r="G7">
        <v>0</v>
      </c>
      <c r="I7" s="13"/>
      <c r="J7" s="13"/>
      <c r="M7" s="13"/>
      <c r="N7" s="13"/>
      <c r="O7" s="13"/>
      <c r="P7" s="13"/>
      <c r="S7" s="13"/>
      <c r="T7" s="13"/>
      <c r="AA7" s="13"/>
      <c r="AC7" s="13"/>
      <c r="AL7" s="13" t="str">
        <f>INDEX(原始数据!$K$2:$Q$7, MATCH("基础攻击力A", 原始数据!$J$2:$J$7, 0), MATCH($E7, 原始数据!$K$1:$Q$1, 0))&amp;"-"&amp;INDEX(原始数据!$K$2:$Q$7, MATCH("基础攻击力B", 原始数据!$J$2:$J$7, 0), MATCH($E7, 原始数据!$K$1:$Q$1, 0))*0.9</f>
        <v>27.66-61.317</v>
      </c>
      <c r="AM7" s="13" t="str">
        <f>INDEX(原始数据!$K$2:$Q$7, MATCH("基础攻击力A", 原始数据!$J$2:$J$7, 0), MATCH($E7, 原始数据!$K$1:$Q$1, 0))&amp;"-"&amp;INDEX(原始数据!$K$2:$Q$7, MATCH("基础攻击力B", 原始数据!$J$2:$J$7, 0), MATCH($E7, 原始数据!$K$1:$Q$1, 0))*0.9</f>
        <v>27.66-61.317</v>
      </c>
      <c r="AN7" s="13" t="str">
        <f>INDEX(原始数据!$K$2:$Q$7, MATCH("基础攻击力A", 原始数据!$J$2:$J$7, 0), MATCH($E7, 原始数据!$K$1:$Q$1, 0))&amp;"-"&amp;INDEX(原始数据!$K$2:$Q$7, MATCH("基础攻击力B", 原始数据!$J$2:$J$7, 0), MATCH($E7, 原始数据!$K$1:$Q$1, 0))*0.9</f>
        <v>27.66-61.317</v>
      </c>
      <c r="AO7" s="13" t="str">
        <f>INDEX(原始数据!$K$2:$Q$7, MATCH("基础攻击力A", 原始数据!$J$2:$J$7, 0), MATCH($E7, 原始数据!$K$1:$Q$1, 0))&amp;"-"&amp;INDEX(原始数据!$K$2:$Q$7, MATCH("基础攻击力B", 原始数据!$J$2:$J$7, 0), MATCH($E7, 原始数据!$K$1:$Q$1, 0))*0.9</f>
        <v>27.66-61.317</v>
      </c>
      <c r="AP7" s="13" t="str">
        <f>INDEX(原始数据!$K$2:$Q$7, MATCH("基础防御力A", 原始数据!$J$2:$J$7, 0), MATCH($E7, 原始数据!$K$1:$Q$1, 0))&amp;"-"&amp;INDEX(原始数据!$K$2:$Q$7, MATCH("基础防御力B", 原始数据!$J$2:$J$7, 0), MATCH($E7, 原始数据!$K$1:$Q$1, 0))*0.9</f>
        <v>30-81</v>
      </c>
      <c r="AQ7" s="13" t="str">
        <f>INDEX(原始数据!$K$2:$Q$7, MATCH("基础防御力A", 原始数据!$J$2:$J$7, 0), MATCH($E7, 原始数据!$K$1:$Q$1, 0))&amp;"-"&amp;INDEX(原始数据!$K$2:$Q$7, MATCH("基础防御力B", 原始数据!$J$2:$J$7, 0), MATCH($E7, 原始数据!$K$1:$Q$1, 0))*0.9</f>
        <v>30-81</v>
      </c>
      <c r="AR7" s="13" t="str">
        <f>INDEX(原始数据!$K$2:$Q$7, MATCH("基础防御力A", 原始数据!$J$2:$J$7, 0), MATCH($E7, 原始数据!$K$1:$Q$1, 0))&amp;"-"&amp;INDEX(原始数据!$K$2:$Q$7, MATCH("基础防御力B", 原始数据!$J$2:$J$7, 0), MATCH($E7, 原始数据!$K$1:$Q$1, 0))*0.9</f>
        <v>30-81</v>
      </c>
      <c r="AS7" s="13" t="str">
        <f>INDEX(原始数据!$K$2:$Q$7, MATCH("基础防御力A", 原始数据!$J$2:$J$7, 0), MATCH($E7, 原始数据!$K$1:$Q$1, 0))&amp;"-"&amp;INDEX(原始数据!$K$2:$Q$7, MATCH("基础防御力B", 原始数据!$J$2:$J$7, 0), MATCH($E7, 原始数据!$K$1:$Q$1, 0))*0.9</f>
        <v>30-81</v>
      </c>
      <c r="AT7" s="13" t="str">
        <f>INDEX(原始数据!$K$2:$Q$7, MATCH("基础生命值A", 原始数据!$J$2:$J$7, 0), MATCH($E7, 原始数据!$K$1:$Q$1, 0))&amp;"-"&amp;INDEX(原始数据!$K$2:$Q$7, MATCH("基础生命值B", 原始数据!$J$2:$J$7, 0), MATCH($E7, 原始数据!$K$1:$Q$1, 0))*0.9</f>
        <v>992.64-1326.87</v>
      </c>
      <c r="AU7" s="13" t="str">
        <f>INDEX(原始数据!$K$2:$Q$7, MATCH("基础生命值A", 原始数据!$J$2:$J$7, 0), MATCH($E7, 原始数据!$K$1:$Q$1, 0))&amp;"-"&amp;INDEX(原始数据!$K$2:$Q$7, MATCH("基础生命值B", 原始数据!$J$2:$J$7, 0), MATCH($E7, 原始数据!$K$1:$Q$1, 0))*0.9</f>
        <v>992.64-1326.87</v>
      </c>
      <c r="AV7" s="1" t="s">
        <v>436</v>
      </c>
    </row>
    <row r="8" spans="1:48" s="15" customFormat="1" x14ac:dyDescent="0.2">
      <c r="B8" s="15">
        <f>ID编号[id编号]*1000+ROW()-6</f>
        <v>108002</v>
      </c>
      <c r="C8" s="1" t="s">
        <v>22</v>
      </c>
      <c r="D8" s="15">
        <v>0</v>
      </c>
      <c r="E8" s="15">
        <v>2</v>
      </c>
      <c r="G8" s="15">
        <v>0</v>
      </c>
      <c r="I8" s="13"/>
      <c r="J8" s="13"/>
      <c r="K8" s="16"/>
      <c r="L8" s="16"/>
      <c r="M8" s="13"/>
      <c r="N8" s="13"/>
      <c r="O8" s="13"/>
      <c r="P8" s="13"/>
      <c r="Q8" s="16"/>
      <c r="R8" s="16"/>
      <c r="S8" s="13"/>
      <c r="T8" s="13"/>
      <c r="U8" s="16"/>
      <c r="V8" s="16"/>
      <c r="W8" s="16"/>
      <c r="X8" s="16"/>
      <c r="Y8" s="16"/>
      <c r="Z8" s="16"/>
      <c r="AA8" s="13"/>
      <c r="AB8" s="13"/>
      <c r="AC8" s="13"/>
      <c r="AD8" s="17"/>
      <c r="AE8" s="16"/>
      <c r="AF8" s="17"/>
      <c r="AG8" s="16"/>
      <c r="AH8" s="17"/>
      <c r="AI8" s="16"/>
      <c r="AJ8" s="17"/>
      <c r="AK8" s="16"/>
      <c r="AL8" s="13" t="str">
        <f>INDEX(原始数据!$K$2:$Q$7, MATCH("基础攻击力A", 原始数据!$J$2:$J$7, 0), MATCH($E8, 原始数据!$K$1:$Q$1, 0))&amp;"-"&amp;INDEX(原始数据!$K$2:$Q$7, MATCH("基础攻击力B", 原始数据!$J$2:$J$7, 0), MATCH($E8, 原始数据!$K$1:$Q$1, 0))*0.9</f>
        <v>59.4-94.959</v>
      </c>
      <c r="AM8" s="13" t="str">
        <f>INDEX(原始数据!$K$2:$Q$7, MATCH("基础攻击力A", 原始数据!$J$2:$J$7, 0), MATCH($E8, 原始数据!$K$1:$Q$1, 0))&amp;"-"&amp;INDEX(原始数据!$K$2:$Q$7, MATCH("基础攻击力B", 原始数据!$J$2:$J$7, 0), MATCH($E8, 原始数据!$K$1:$Q$1, 0))*0.9</f>
        <v>59.4-94.959</v>
      </c>
      <c r="AN8" s="13" t="str">
        <f>INDEX(原始数据!$K$2:$Q$7, MATCH("基础攻击力A", 原始数据!$J$2:$J$7, 0), MATCH($E8, 原始数据!$K$1:$Q$1, 0))&amp;"-"&amp;INDEX(原始数据!$K$2:$Q$7, MATCH("基础攻击力B", 原始数据!$J$2:$J$7, 0), MATCH($E8, 原始数据!$K$1:$Q$1, 0))*0.9</f>
        <v>59.4-94.959</v>
      </c>
      <c r="AO8" s="13" t="str">
        <f>INDEX(原始数据!$K$2:$Q$7, MATCH("基础攻击力A", 原始数据!$J$2:$J$7, 0), MATCH($E8, 原始数据!$K$1:$Q$1, 0))&amp;"-"&amp;INDEX(原始数据!$K$2:$Q$7, MATCH("基础攻击力B", 原始数据!$J$2:$J$7, 0), MATCH($E8, 原始数据!$K$1:$Q$1, 0))*0.9</f>
        <v>59.4-94.959</v>
      </c>
      <c r="AP8" s="13" t="str">
        <f>INDEX(原始数据!$K$2:$Q$7, MATCH("基础防御力A", 原始数据!$J$2:$J$7, 0), MATCH($E8, 原始数据!$K$1:$Q$1, 0))&amp;"-"&amp;INDEX(原始数据!$K$2:$Q$7, MATCH("基础防御力B", 原始数据!$J$2:$J$7, 0), MATCH($E8, 原始数据!$K$1:$Q$1, 0))*0.9</f>
        <v>78-124.2</v>
      </c>
      <c r="AQ8" s="13" t="str">
        <f>INDEX(原始数据!$K$2:$Q$7, MATCH("基础防御力A", 原始数据!$J$2:$J$7, 0), MATCH($E8, 原始数据!$K$1:$Q$1, 0))&amp;"-"&amp;INDEX(原始数据!$K$2:$Q$7, MATCH("基础防御力B", 原始数据!$J$2:$J$7, 0), MATCH($E8, 原始数据!$K$1:$Q$1, 0))*0.9</f>
        <v>78-124.2</v>
      </c>
      <c r="AR8" s="13" t="str">
        <f>INDEX(原始数据!$K$2:$Q$7, MATCH("基础防御力A", 原始数据!$J$2:$J$7, 0), MATCH($E8, 原始数据!$K$1:$Q$1, 0))&amp;"-"&amp;INDEX(原始数据!$K$2:$Q$7, MATCH("基础防御力B", 原始数据!$J$2:$J$7, 0), MATCH($E8, 原始数据!$K$1:$Q$1, 0))*0.9</f>
        <v>78-124.2</v>
      </c>
      <c r="AS8" s="13" t="str">
        <f>INDEX(原始数据!$K$2:$Q$7, MATCH("基础防御力A", 原始数据!$J$2:$J$7, 0), MATCH($E8, 原始数据!$K$1:$Q$1, 0))&amp;"-"&amp;INDEX(原始数据!$K$2:$Q$7, MATCH("基础防御力B", 原始数据!$J$2:$J$7, 0), MATCH($E8, 原始数据!$K$1:$Q$1, 0))*0.9</f>
        <v>78-124.2</v>
      </c>
      <c r="AT8" s="13" t="str">
        <f>INDEX(原始数据!$K$2:$Q$7, MATCH("基础生命值A", 原始数据!$J$2:$J$7, 0), MATCH($E8, 原始数据!$K$1:$Q$1, 0))&amp;"-"&amp;INDEX(原始数据!$K$2:$Q$7, MATCH("基础生命值B", 原始数据!$J$2:$J$7, 0), MATCH($E8, 原始数据!$K$1:$Q$1, 0))*0.9</f>
        <v>1388.57-1661.508</v>
      </c>
      <c r="AU8" s="13" t="str">
        <f>INDEX(原始数据!$K$2:$Q$7, MATCH("基础生命值A", 原始数据!$J$2:$J$7, 0), MATCH($E8, 原始数据!$K$1:$Q$1, 0))&amp;"-"&amp;INDEX(原始数据!$K$2:$Q$7, MATCH("基础生命值B", 原始数据!$J$2:$J$7, 0), MATCH($E8, 原始数据!$K$1:$Q$1, 0))*0.9</f>
        <v>1388.57-1661.508</v>
      </c>
      <c r="AV8" s="1" t="s">
        <v>437</v>
      </c>
    </row>
    <row r="9" spans="1:48" x14ac:dyDescent="0.2">
      <c r="B9">
        <f>ID编号[id编号]*1000+ROW()-6</f>
        <v>108003</v>
      </c>
      <c r="C9" s="1" t="s">
        <v>21</v>
      </c>
      <c r="D9">
        <v>0</v>
      </c>
      <c r="E9">
        <v>2</v>
      </c>
      <c r="G9">
        <v>0</v>
      </c>
      <c r="I9" s="13"/>
      <c r="J9" s="13"/>
      <c r="M9" s="13"/>
      <c r="N9" s="13"/>
      <c r="O9" s="13"/>
      <c r="P9" s="13"/>
      <c r="S9" s="13"/>
      <c r="T9" s="13"/>
      <c r="AA9" s="13"/>
      <c r="AC9" s="13"/>
      <c r="AL9" s="13" t="str">
        <f>INDEX(原始数据!$K$2:$Q$7, MATCH("基础攻击力A", 原始数据!$J$2:$J$7, 0), MATCH($E9, 原始数据!$K$1:$Q$1, 0))&amp;"-"&amp;INDEX(原始数据!$K$2:$Q$7, MATCH("基础攻击力B", 原始数据!$J$2:$J$7, 0), MATCH($E9, 原始数据!$K$1:$Q$1, 0))*0.9</f>
        <v>59.4-94.959</v>
      </c>
      <c r="AM9" s="13" t="str">
        <f>INDEX(原始数据!$K$2:$Q$7, MATCH("基础攻击力A", 原始数据!$J$2:$J$7, 0), MATCH($E9, 原始数据!$K$1:$Q$1, 0))&amp;"-"&amp;INDEX(原始数据!$K$2:$Q$7, MATCH("基础攻击力B", 原始数据!$J$2:$J$7, 0), MATCH($E9, 原始数据!$K$1:$Q$1, 0))*0.9</f>
        <v>59.4-94.959</v>
      </c>
      <c r="AN9" s="13" t="str">
        <f>INDEX(原始数据!$K$2:$Q$7, MATCH("基础攻击力A", 原始数据!$J$2:$J$7, 0), MATCH($E9, 原始数据!$K$1:$Q$1, 0))&amp;"-"&amp;INDEX(原始数据!$K$2:$Q$7, MATCH("基础攻击力B", 原始数据!$J$2:$J$7, 0), MATCH($E9, 原始数据!$K$1:$Q$1, 0))*0.9</f>
        <v>59.4-94.959</v>
      </c>
      <c r="AO9" s="13" t="str">
        <f>INDEX(原始数据!$K$2:$Q$7, MATCH("基础攻击力A", 原始数据!$J$2:$J$7, 0), MATCH($E9, 原始数据!$K$1:$Q$1, 0))&amp;"-"&amp;INDEX(原始数据!$K$2:$Q$7, MATCH("基础攻击力B", 原始数据!$J$2:$J$7, 0), MATCH($E9, 原始数据!$K$1:$Q$1, 0))*0.9</f>
        <v>59.4-94.959</v>
      </c>
      <c r="AP9" s="13" t="str">
        <f>INDEX(原始数据!$K$2:$Q$7, MATCH("基础防御力A", 原始数据!$J$2:$J$7, 0), MATCH($E9, 原始数据!$K$1:$Q$1, 0))&amp;"-"&amp;INDEX(原始数据!$K$2:$Q$7, MATCH("基础防御力B", 原始数据!$J$2:$J$7, 0), MATCH($E9, 原始数据!$K$1:$Q$1, 0))*0.9</f>
        <v>78-124.2</v>
      </c>
      <c r="AQ9" s="13" t="str">
        <f>INDEX(原始数据!$K$2:$Q$7, MATCH("基础防御力A", 原始数据!$J$2:$J$7, 0), MATCH($E9, 原始数据!$K$1:$Q$1, 0))&amp;"-"&amp;INDEX(原始数据!$K$2:$Q$7, MATCH("基础防御力B", 原始数据!$J$2:$J$7, 0), MATCH($E9, 原始数据!$K$1:$Q$1, 0))*0.9</f>
        <v>78-124.2</v>
      </c>
      <c r="AR9" s="13" t="str">
        <f>INDEX(原始数据!$K$2:$Q$7, MATCH("基础防御力A", 原始数据!$J$2:$J$7, 0), MATCH($E9, 原始数据!$K$1:$Q$1, 0))&amp;"-"&amp;INDEX(原始数据!$K$2:$Q$7, MATCH("基础防御力B", 原始数据!$J$2:$J$7, 0), MATCH($E9, 原始数据!$K$1:$Q$1, 0))*0.9</f>
        <v>78-124.2</v>
      </c>
      <c r="AS9" s="13" t="str">
        <f>INDEX(原始数据!$K$2:$Q$7, MATCH("基础防御力A", 原始数据!$J$2:$J$7, 0), MATCH($E9, 原始数据!$K$1:$Q$1, 0))&amp;"-"&amp;INDEX(原始数据!$K$2:$Q$7, MATCH("基础防御力B", 原始数据!$J$2:$J$7, 0), MATCH($E9, 原始数据!$K$1:$Q$1, 0))*0.9</f>
        <v>78-124.2</v>
      </c>
      <c r="AT9" s="13" t="str">
        <f>INDEX(原始数据!$K$2:$Q$7, MATCH("基础生命值A", 原始数据!$J$2:$J$7, 0), MATCH($E9, 原始数据!$K$1:$Q$1, 0))&amp;"-"&amp;INDEX(原始数据!$K$2:$Q$7, MATCH("基础生命值B", 原始数据!$J$2:$J$7, 0), MATCH($E9, 原始数据!$K$1:$Q$1, 0))*0.9</f>
        <v>1388.57-1661.508</v>
      </c>
      <c r="AU9" s="13" t="str">
        <f>INDEX(原始数据!$K$2:$Q$7, MATCH("基础生命值A", 原始数据!$J$2:$J$7, 0), MATCH($E9, 原始数据!$K$1:$Q$1, 0))&amp;"-"&amp;INDEX(原始数据!$K$2:$Q$7, MATCH("基础生命值B", 原始数据!$J$2:$J$7, 0), MATCH($E9, 原始数据!$K$1:$Q$1, 0))*0.9</f>
        <v>1388.57-1661.508</v>
      </c>
      <c r="AV9" s="1" t="s">
        <v>350</v>
      </c>
    </row>
    <row r="10" spans="1:48" x14ac:dyDescent="0.2">
      <c r="B10">
        <f>ID编号[id编号]*1000+ROW()-6</f>
        <v>108004</v>
      </c>
      <c r="C10" s="1" t="s">
        <v>23</v>
      </c>
      <c r="D10">
        <v>0</v>
      </c>
      <c r="E10">
        <v>3</v>
      </c>
      <c r="G10">
        <v>0</v>
      </c>
      <c r="I10" s="13"/>
      <c r="J10" s="13"/>
      <c r="M10" s="13"/>
      <c r="N10" s="13"/>
      <c r="O10" s="13"/>
      <c r="P10" s="13"/>
      <c r="S10" s="13"/>
      <c r="T10" s="13"/>
      <c r="AA10" s="13"/>
      <c r="AC10" s="13"/>
      <c r="AL10" s="13" t="str">
        <f>INDEX(原始数据!$K$2:$Q$7, MATCH("基础攻击力A", 原始数据!$J$2:$J$7, 0), MATCH($E10, 原始数据!$K$1:$Q$1, 0))&amp;"-"&amp;INDEX(原始数据!$K$2:$Q$7, MATCH("基础攻击力B", 原始数据!$J$2:$J$7, 0), MATCH($E10, 原始数据!$K$1:$Q$1, 0))*0.9</f>
        <v>95.82-131.652</v>
      </c>
      <c r="AM10" s="13" t="str">
        <f>INDEX(原始数据!$K$2:$Q$7, MATCH("基础攻击力A", 原始数据!$J$2:$J$7, 0), MATCH($E10, 原始数据!$K$1:$Q$1, 0))&amp;"-"&amp;INDEX(原始数据!$K$2:$Q$7, MATCH("基础攻击力B", 原始数据!$J$2:$J$7, 0), MATCH($E10, 原始数据!$K$1:$Q$1, 0))*0.9</f>
        <v>95.82-131.652</v>
      </c>
      <c r="AN10" s="13" t="str">
        <f>INDEX(原始数据!$K$2:$Q$7, MATCH("基础攻击力A", 原始数据!$J$2:$J$7, 0), MATCH($E10, 原始数据!$K$1:$Q$1, 0))&amp;"-"&amp;INDEX(原始数据!$K$2:$Q$7, MATCH("基础攻击力B", 原始数据!$J$2:$J$7, 0), MATCH($E10, 原始数据!$K$1:$Q$1, 0))*0.9</f>
        <v>95.82-131.652</v>
      </c>
      <c r="AO10" s="13" t="str">
        <f>INDEX(原始数据!$K$2:$Q$7, MATCH("基础攻击力A", 原始数据!$J$2:$J$7, 0), MATCH($E10, 原始数据!$K$1:$Q$1, 0))&amp;"-"&amp;INDEX(原始数据!$K$2:$Q$7, MATCH("基础攻击力B", 原始数据!$J$2:$J$7, 0), MATCH($E10, 原始数据!$K$1:$Q$1, 0))*0.9</f>
        <v>95.82-131.652</v>
      </c>
      <c r="AP10" s="13" t="str">
        <f>INDEX(原始数据!$K$2:$Q$7, MATCH("基础防御力A", 原始数据!$J$2:$J$7, 0), MATCH($E10, 原始数据!$K$1:$Q$1, 0))&amp;"-"&amp;INDEX(原始数据!$K$2:$Q$7, MATCH("基础防御力B", 原始数据!$J$2:$J$7, 0), MATCH($E10, 原始数据!$K$1:$Q$1, 0))*0.9</f>
        <v>126-167.4</v>
      </c>
      <c r="AQ10" s="13" t="str">
        <f>INDEX(原始数据!$K$2:$Q$7, MATCH("基础防御力A", 原始数据!$J$2:$J$7, 0), MATCH($E10, 原始数据!$K$1:$Q$1, 0))&amp;"-"&amp;INDEX(原始数据!$K$2:$Q$7, MATCH("基础防御力B", 原始数据!$J$2:$J$7, 0), MATCH($E10, 原始数据!$K$1:$Q$1, 0))*0.9</f>
        <v>126-167.4</v>
      </c>
      <c r="AR10" s="13" t="str">
        <f>INDEX(原始数据!$K$2:$Q$7, MATCH("基础防御力A", 原始数据!$J$2:$J$7, 0), MATCH($E10, 原始数据!$K$1:$Q$1, 0))&amp;"-"&amp;INDEX(原始数据!$K$2:$Q$7, MATCH("基础防御力B", 原始数据!$J$2:$J$7, 0), MATCH($E10, 原始数据!$K$1:$Q$1, 0))*0.9</f>
        <v>126-167.4</v>
      </c>
      <c r="AS10" s="13" t="str">
        <f>INDEX(原始数据!$K$2:$Q$7, MATCH("基础防御力A", 原始数据!$J$2:$J$7, 0), MATCH($E10, 原始数据!$K$1:$Q$1, 0))&amp;"-"&amp;INDEX(原始数据!$K$2:$Q$7, MATCH("基础防御力B", 原始数据!$J$2:$J$7, 0), MATCH($E10, 原始数据!$K$1:$Q$1, 0))*0.9</f>
        <v>126-167.4</v>
      </c>
      <c r="AT10" s="13" t="str">
        <f>INDEX(原始数据!$K$2:$Q$7, MATCH("基础生命值A", 原始数据!$J$2:$J$7, 0), MATCH($E10, 原始数据!$K$1:$Q$1, 0))&amp;"-"&amp;INDEX(原始数据!$K$2:$Q$7, MATCH("基础生命值B", 原始数据!$J$2:$J$7, 0), MATCH($E10, 原始数据!$K$1:$Q$1, 0))*0.9</f>
        <v>1745.81-2084.022</v>
      </c>
      <c r="AU10" s="13" t="str">
        <f>INDEX(原始数据!$K$2:$Q$7, MATCH("基础生命值A", 原始数据!$J$2:$J$7, 0), MATCH($E10, 原始数据!$K$1:$Q$1, 0))&amp;"-"&amp;INDEX(原始数据!$K$2:$Q$7, MATCH("基础生命值B", 原始数据!$J$2:$J$7, 0), MATCH($E10, 原始数据!$K$1:$Q$1, 0))*0.9</f>
        <v>1745.81-2084.022</v>
      </c>
      <c r="AV10" s="1" t="s">
        <v>351</v>
      </c>
    </row>
    <row r="11" spans="1:48" x14ac:dyDescent="0.2">
      <c r="B11">
        <f>ID编号[id编号]*1000+ROW()-6</f>
        <v>108005</v>
      </c>
      <c r="C11" s="1" t="s">
        <v>24</v>
      </c>
      <c r="D11">
        <v>0</v>
      </c>
      <c r="E11">
        <v>3</v>
      </c>
      <c r="G11">
        <v>0</v>
      </c>
      <c r="I11" s="13"/>
      <c r="J11" s="13"/>
      <c r="M11" s="13"/>
      <c r="N11" s="13"/>
      <c r="O11" s="13"/>
      <c r="P11" s="13"/>
      <c r="S11" s="13"/>
      <c r="T11" s="13"/>
      <c r="AA11" s="13"/>
      <c r="AC11" s="13"/>
      <c r="AL11" s="13" t="str">
        <f>INDEX(原始数据!$K$2:$Q$7, MATCH("基础攻击力A", 原始数据!$J$2:$J$7, 0), MATCH($E11, 原始数据!$K$1:$Q$1, 0))&amp;"-"&amp;INDEX(原始数据!$K$2:$Q$7, MATCH("基础攻击力B", 原始数据!$J$2:$J$7, 0), MATCH($E11, 原始数据!$K$1:$Q$1, 0))*0.9</f>
        <v>95.82-131.652</v>
      </c>
      <c r="AM11" s="13" t="str">
        <f>INDEX(原始数据!$K$2:$Q$7, MATCH("基础攻击力A", 原始数据!$J$2:$J$7, 0), MATCH($E11, 原始数据!$K$1:$Q$1, 0))&amp;"-"&amp;INDEX(原始数据!$K$2:$Q$7, MATCH("基础攻击力B", 原始数据!$J$2:$J$7, 0), MATCH($E11, 原始数据!$K$1:$Q$1, 0))*0.9</f>
        <v>95.82-131.652</v>
      </c>
      <c r="AN11" s="13" t="str">
        <f>INDEX(原始数据!$K$2:$Q$7, MATCH("基础攻击力A", 原始数据!$J$2:$J$7, 0), MATCH($E11, 原始数据!$K$1:$Q$1, 0))&amp;"-"&amp;INDEX(原始数据!$K$2:$Q$7, MATCH("基础攻击力B", 原始数据!$J$2:$J$7, 0), MATCH($E11, 原始数据!$K$1:$Q$1, 0))*0.9</f>
        <v>95.82-131.652</v>
      </c>
      <c r="AO11" s="13" t="str">
        <f>INDEX(原始数据!$K$2:$Q$7, MATCH("基础攻击力A", 原始数据!$J$2:$J$7, 0), MATCH($E11, 原始数据!$K$1:$Q$1, 0))&amp;"-"&amp;INDEX(原始数据!$K$2:$Q$7, MATCH("基础攻击力B", 原始数据!$J$2:$J$7, 0), MATCH($E11, 原始数据!$K$1:$Q$1, 0))*0.9</f>
        <v>95.82-131.652</v>
      </c>
      <c r="AP11" s="13" t="str">
        <f>INDEX(原始数据!$K$2:$Q$7, MATCH("基础防御力A", 原始数据!$J$2:$J$7, 0), MATCH($E11, 原始数据!$K$1:$Q$1, 0))&amp;"-"&amp;INDEX(原始数据!$K$2:$Q$7, MATCH("基础防御力B", 原始数据!$J$2:$J$7, 0), MATCH($E11, 原始数据!$K$1:$Q$1, 0))*0.9</f>
        <v>126-167.4</v>
      </c>
      <c r="AQ11" s="13" t="str">
        <f>INDEX(原始数据!$K$2:$Q$7, MATCH("基础防御力A", 原始数据!$J$2:$J$7, 0), MATCH($E11, 原始数据!$K$1:$Q$1, 0))&amp;"-"&amp;INDEX(原始数据!$K$2:$Q$7, MATCH("基础防御力B", 原始数据!$J$2:$J$7, 0), MATCH($E11, 原始数据!$K$1:$Q$1, 0))*0.9</f>
        <v>126-167.4</v>
      </c>
      <c r="AR11" s="13" t="str">
        <f>INDEX(原始数据!$K$2:$Q$7, MATCH("基础防御力A", 原始数据!$J$2:$J$7, 0), MATCH($E11, 原始数据!$K$1:$Q$1, 0))&amp;"-"&amp;INDEX(原始数据!$K$2:$Q$7, MATCH("基础防御力B", 原始数据!$J$2:$J$7, 0), MATCH($E11, 原始数据!$K$1:$Q$1, 0))*0.9</f>
        <v>126-167.4</v>
      </c>
      <c r="AS11" s="13" t="str">
        <f>INDEX(原始数据!$K$2:$Q$7, MATCH("基础防御力A", 原始数据!$J$2:$J$7, 0), MATCH($E11, 原始数据!$K$1:$Q$1, 0))&amp;"-"&amp;INDEX(原始数据!$K$2:$Q$7, MATCH("基础防御力B", 原始数据!$J$2:$J$7, 0), MATCH($E11, 原始数据!$K$1:$Q$1, 0))*0.9</f>
        <v>126-167.4</v>
      </c>
      <c r="AT11" s="13" t="str">
        <f>INDEX(原始数据!$K$2:$Q$7, MATCH("基础生命值A", 原始数据!$J$2:$J$7, 0), MATCH($E11, 原始数据!$K$1:$Q$1, 0))&amp;"-"&amp;INDEX(原始数据!$K$2:$Q$7, MATCH("基础生命值B", 原始数据!$J$2:$J$7, 0), MATCH($E11, 原始数据!$K$1:$Q$1, 0))*0.9</f>
        <v>1745.81-2084.022</v>
      </c>
      <c r="AU11" s="13" t="str">
        <f>INDEX(原始数据!$K$2:$Q$7, MATCH("基础生命值A", 原始数据!$J$2:$J$7, 0), MATCH($E11, 原始数据!$K$1:$Q$1, 0))&amp;"-"&amp;INDEX(原始数据!$K$2:$Q$7, MATCH("基础生命值B", 原始数据!$J$2:$J$7, 0), MATCH($E11, 原始数据!$K$1:$Q$1, 0))*0.9</f>
        <v>1745.81-2084.022</v>
      </c>
      <c r="AV11" s="1" t="s">
        <v>352</v>
      </c>
    </row>
    <row r="12" spans="1:48" x14ac:dyDescent="0.2">
      <c r="B12">
        <f>ID编号[id编号]*1000+ROW()-6</f>
        <v>108006</v>
      </c>
      <c r="C12" s="1" t="s">
        <v>25</v>
      </c>
      <c r="D12">
        <v>0</v>
      </c>
      <c r="E12">
        <v>4</v>
      </c>
      <c r="G12">
        <v>0</v>
      </c>
      <c r="I12" s="13"/>
      <c r="J12" s="13"/>
      <c r="M12" s="13"/>
      <c r="N12" s="13"/>
      <c r="O12" s="13"/>
      <c r="P12" s="13"/>
      <c r="S12" s="13"/>
      <c r="T12" s="13"/>
      <c r="AA12" s="13"/>
      <c r="AC12" s="13"/>
      <c r="AL12" s="13" t="str">
        <f>INDEX(原始数据!$K$2:$Q$7, MATCH("基础攻击力A", 原始数据!$J$2:$J$7, 0), MATCH($E12, 原始数据!$K$1:$Q$1, 0))&amp;"-"&amp;INDEX(原始数据!$K$2:$Q$7, MATCH("基础攻击力B", 原始数据!$J$2:$J$7, 0), MATCH($E12, 原始数据!$K$1:$Q$1, 0))*0.9</f>
        <v>135.8-170.892</v>
      </c>
      <c r="AM12" s="13" t="str">
        <f>INDEX(原始数据!$K$2:$Q$7, MATCH("基础攻击力A", 原始数据!$J$2:$J$7, 0), MATCH($E12, 原始数据!$K$1:$Q$1, 0))&amp;"-"&amp;INDEX(原始数据!$K$2:$Q$7, MATCH("基础攻击力B", 原始数据!$J$2:$J$7, 0), MATCH($E12, 原始数据!$K$1:$Q$1, 0))*0.9</f>
        <v>135.8-170.892</v>
      </c>
      <c r="AN12" s="13" t="str">
        <f>INDEX(原始数据!$K$2:$Q$7, MATCH("基础攻击力A", 原始数据!$J$2:$J$7, 0), MATCH($E12, 原始数据!$K$1:$Q$1, 0))&amp;"-"&amp;INDEX(原始数据!$K$2:$Q$7, MATCH("基础攻击力B", 原始数据!$J$2:$J$7, 0), MATCH($E12, 原始数据!$K$1:$Q$1, 0))*0.9</f>
        <v>135.8-170.892</v>
      </c>
      <c r="AO12" s="13" t="str">
        <f>INDEX(原始数据!$K$2:$Q$7, MATCH("基础攻击力A", 原始数据!$J$2:$J$7, 0), MATCH($E12, 原始数据!$K$1:$Q$1, 0))&amp;"-"&amp;INDEX(原始数据!$K$2:$Q$7, MATCH("基础攻击力B", 原始数据!$J$2:$J$7, 0), MATCH($E12, 原始数据!$K$1:$Q$1, 0))*0.9</f>
        <v>135.8-170.892</v>
      </c>
      <c r="AP12" s="13" t="str">
        <f>INDEX(原始数据!$K$2:$Q$7, MATCH("基础防御力A", 原始数据!$J$2:$J$7, 0), MATCH($E12, 原始数据!$K$1:$Q$1, 0))&amp;"-"&amp;INDEX(原始数据!$K$2:$Q$7, MATCH("基础防御力B", 原始数据!$J$2:$J$7, 0), MATCH($E12, 原始数据!$K$1:$Q$1, 0))*0.9</f>
        <v>174-210.6</v>
      </c>
      <c r="AQ12" s="13" t="str">
        <f>INDEX(原始数据!$K$2:$Q$7, MATCH("基础防御力A", 原始数据!$J$2:$J$7, 0), MATCH($E12, 原始数据!$K$1:$Q$1, 0))&amp;"-"&amp;INDEX(原始数据!$K$2:$Q$7, MATCH("基础防御力B", 原始数据!$J$2:$J$7, 0), MATCH($E12, 原始数据!$K$1:$Q$1, 0))*0.9</f>
        <v>174-210.6</v>
      </c>
      <c r="AR12" s="13" t="str">
        <f>INDEX(原始数据!$K$2:$Q$7, MATCH("基础防御力A", 原始数据!$J$2:$J$7, 0), MATCH($E12, 原始数据!$K$1:$Q$1, 0))&amp;"-"&amp;INDEX(原始数据!$K$2:$Q$7, MATCH("基础防御力B", 原始数据!$J$2:$J$7, 0), MATCH($E12, 原始数据!$K$1:$Q$1, 0))*0.9</f>
        <v>174-210.6</v>
      </c>
      <c r="AS12" s="13" t="str">
        <f>INDEX(原始数据!$K$2:$Q$7, MATCH("基础防御力A", 原始数据!$J$2:$J$7, 0), MATCH($E12, 原始数据!$K$1:$Q$1, 0))&amp;"-"&amp;INDEX(原始数据!$K$2:$Q$7, MATCH("基础防御力B", 原始数据!$J$2:$J$7, 0), MATCH($E12, 原始数据!$K$1:$Q$1, 0))*0.9</f>
        <v>174-210.6</v>
      </c>
      <c r="AT12" s="13" t="str">
        <f>INDEX(原始数据!$K$2:$Q$7, MATCH("基础生命值A", 原始数据!$J$2:$J$7, 0), MATCH($E12, 原始数据!$K$1:$Q$1, 0))&amp;"-"&amp;INDEX(原始数据!$K$2:$Q$7, MATCH("基础生命值B", 原始数据!$J$2:$J$7, 0), MATCH($E12, 原始数据!$K$1:$Q$1, 0))*0.9</f>
        <v>2187.43-2607.876</v>
      </c>
      <c r="AU12" s="13" t="str">
        <f>INDEX(原始数据!$K$2:$Q$7, MATCH("基础生命值A", 原始数据!$J$2:$J$7, 0), MATCH($E12, 原始数据!$K$1:$Q$1, 0))&amp;"-"&amp;INDEX(原始数据!$K$2:$Q$7, MATCH("基础生命值B", 原始数据!$J$2:$J$7, 0), MATCH($E12, 原始数据!$K$1:$Q$1, 0))*0.9</f>
        <v>2187.43-2607.876</v>
      </c>
      <c r="AV12" s="1" t="s">
        <v>353</v>
      </c>
    </row>
    <row r="13" spans="1:48" x14ac:dyDescent="0.2">
      <c r="B13">
        <f>ID编号[id编号]*1000+ROW()-6</f>
        <v>108007</v>
      </c>
      <c r="C13" s="1" t="s">
        <v>26</v>
      </c>
      <c r="D13">
        <v>0</v>
      </c>
      <c r="E13">
        <v>4</v>
      </c>
      <c r="G13">
        <v>0</v>
      </c>
      <c r="I13" s="13"/>
      <c r="J13" s="13"/>
      <c r="M13" s="13"/>
      <c r="N13" s="13"/>
      <c r="O13" s="13"/>
      <c r="P13" s="13"/>
      <c r="S13" s="13"/>
      <c r="T13" s="13"/>
      <c r="AA13" s="13"/>
      <c r="AC13" s="13"/>
      <c r="AL13" s="13" t="str">
        <f>INDEX(原始数据!$K$2:$Q$7, MATCH("基础攻击力A", 原始数据!$J$2:$J$7, 0), MATCH($E13, 原始数据!$K$1:$Q$1, 0))&amp;"-"&amp;INDEX(原始数据!$K$2:$Q$7, MATCH("基础攻击力B", 原始数据!$J$2:$J$7, 0), MATCH($E13, 原始数据!$K$1:$Q$1, 0))*0.9</f>
        <v>135.8-170.892</v>
      </c>
      <c r="AM13" s="13" t="str">
        <f>INDEX(原始数据!$K$2:$Q$7, MATCH("基础攻击力A", 原始数据!$J$2:$J$7, 0), MATCH($E13, 原始数据!$K$1:$Q$1, 0))&amp;"-"&amp;INDEX(原始数据!$K$2:$Q$7, MATCH("基础攻击力B", 原始数据!$J$2:$J$7, 0), MATCH($E13, 原始数据!$K$1:$Q$1, 0))*0.9</f>
        <v>135.8-170.892</v>
      </c>
      <c r="AN13" s="13" t="str">
        <f>INDEX(原始数据!$K$2:$Q$7, MATCH("基础攻击力A", 原始数据!$J$2:$J$7, 0), MATCH($E13, 原始数据!$K$1:$Q$1, 0))&amp;"-"&amp;INDEX(原始数据!$K$2:$Q$7, MATCH("基础攻击力B", 原始数据!$J$2:$J$7, 0), MATCH($E13, 原始数据!$K$1:$Q$1, 0))*0.9</f>
        <v>135.8-170.892</v>
      </c>
      <c r="AO13" s="13" t="str">
        <f>INDEX(原始数据!$K$2:$Q$7, MATCH("基础攻击力A", 原始数据!$J$2:$J$7, 0), MATCH($E13, 原始数据!$K$1:$Q$1, 0))&amp;"-"&amp;INDEX(原始数据!$K$2:$Q$7, MATCH("基础攻击力B", 原始数据!$J$2:$J$7, 0), MATCH($E13, 原始数据!$K$1:$Q$1, 0))*0.9</f>
        <v>135.8-170.892</v>
      </c>
      <c r="AP13" s="13" t="str">
        <f>INDEX(原始数据!$K$2:$Q$7, MATCH("基础防御力A", 原始数据!$J$2:$J$7, 0), MATCH($E13, 原始数据!$K$1:$Q$1, 0))&amp;"-"&amp;INDEX(原始数据!$K$2:$Q$7, MATCH("基础防御力B", 原始数据!$J$2:$J$7, 0), MATCH($E13, 原始数据!$K$1:$Q$1, 0))*0.9</f>
        <v>174-210.6</v>
      </c>
      <c r="AQ13" s="13" t="str">
        <f>INDEX(原始数据!$K$2:$Q$7, MATCH("基础防御力A", 原始数据!$J$2:$J$7, 0), MATCH($E13, 原始数据!$K$1:$Q$1, 0))&amp;"-"&amp;INDEX(原始数据!$K$2:$Q$7, MATCH("基础防御力B", 原始数据!$J$2:$J$7, 0), MATCH($E13, 原始数据!$K$1:$Q$1, 0))*0.9</f>
        <v>174-210.6</v>
      </c>
      <c r="AR13" s="13" t="str">
        <f>INDEX(原始数据!$K$2:$Q$7, MATCH("基础防御力A", 原始数据!$J$2:$J$7, 0), MATCH($E13, 原始数据!$K$1:$Q$1, 0))&amp;"-"&amp;INDEX(原始数据!$K$2:$Q$7, MATCH("基础防御力B", 原始数据!$J$2:$J$7, 0), MATCH($E13, 原始数据!$K$1:$Q$1, 0))*0.9</f>
        <v>174-210.6</v>
      </c>
      <c r="AS13" s="13" t="str">
        <f>INDEX(原始数据!$K$2:$Q$7, MATCH("基础防御力A", 原始数据!$J$2:$J$7, 0), MATCH($E13, 原始数据!$K$1:$Q$1, 0))&amp;"-"&amp;INDEX(原始数据!$K$2:$Q$7, MATCH("基础防御力B", 原始数据!$J$2:$J$7, 0), MATCH($E13, 原始数据!$K$1:$Q$1, 0))*0.9</f>
        <v>174-210.6</v>
      </c>
      <c r="AT13" s="13" t="str">
        <f>INDEX(原始数据!$K$2:$Q$7, MATCH("基础生命值A", 原始数据!$J$2:$J$7, 0), MATCH($E13, 原始数据!$K$1:$Q$1, 0))&amp;"-"&amp;INDEX(原始数据!$K$2:$Q$7, MATCH("基础生命值B", 原始数据!$J$2:$J$7, 0), MATCH($E13, 原始数据!$K$1:$Q$1, 0))*0.9</f>
        <v>2187.43-2607.876</v>
      </c>
      <c r="AU13" s="13" t="str">
        <f>INDEX(原始数据!$K$2:$Q$7, MATCH("基础生命值A", 原始数据!$J$2:$J$7, 0), MATCH($E13, 原始数据!$K$1:$Q$1, 0))&amp;"-"&amp;INDEX(原始数据!$K$2:$Q$7, MATCH("基础生命值B", 原始数据!$J$2:$J$7, 0), MATCH($E13, 原始数据!$K$1:$Q$1, 0))*0.9</f>
        <v>2187.43-2607.876</v>
      </c>
      <c r="AV13" s="1" t="s">
        <v>354</v>
      </c>
    </row>
    <row r="14" spans="1:48" x14ac:dyDescent="0.2">
      <c r="B14">
        <f>ID编号[id编号]*1000+ROW()-6</f>
        <v>108008</v>
      </c>
      <c r="C14" s="1" t="s">
        <v>27</v>
      </c>
      <c r="D14">
        <v>0</v>
      </c>
      <c r="E14">
        <v>5</v>
      </c>
      <c r="G14">
        <v>0</v>
      </c>
      <c r="I14" s="13"/>
      <c r="J14" s="13"/>
      <c r="M14" s="13"/>
      <c r="N14" s="13"/>
      <c r="O14" s="13"/>
      <c r="P14" s="13"/>
      <c r="S14" s="13"/>
      <c r="T14" s="13"/>
      <c r="AA14" s="13"/>
      <c r="AC14" s="13"/>
      <c r="AL14" s="13" t="str">
        <f>INDEX(原始数据!$K$2:$Q$7, MATCH("基础攻击力A", 原始数据!$J$2:$J$7, 0), MATCH($E14, 原始数据!$K$1:$Q$1, 0))&amp;"-"&amp;INDEX(原始数据!$K$2:$Q$7, MATCH("基础攻击力B", 原始数据!$J$2:$J$7, 0), MATCH($E14, 原始数据!$K$1:$Q$1, 0))*0.9</f>
        <v>178.74-212.346</v>
      </c>
      <c r="AM14" s="13" t="str">
        <f>INDEX(原始数据!$K$2:$Q$7, MATCH("基础攻击力A", 原始数据!$J$2:$J$7, 0), MATCH($E14, 原始数据!$K$1:$Q$1, 0))&amp;"-"&amp;INDEX(原始数据!$K$2:$Q$7, MATCH("基础攻击力B", 原始数据!$J$2:$J$7, 0), MATCH($E14, 原始数据!$K$1:$Q$1, 0))*0.9</f>
        <v>178.74-212.346</v>
      </c>
      <c r="AN14" s="13" t="str">
        <f>INDEX(原始数据!$K$2:$Q$7, MATCH("基础攻击力A", 原始数据!$J$2:$J$7, 0), MATCH($E14, 原始数据!$K$1:$Q$1, 0))&amp;"-"&amp;INDEX(原始数据!$K$2:$Q$7, MATCH("基础攻击力B", 原始数据!$J$2:$J$7, 0), MATCH($E14, 原始数据!$K$1:$Q$1, 0))*0.9</f>
        <v>178.74-212.346</v>
      </c>
      <c r="AO14" s="13" t="str">
        <f>INDEX(原始数据!$K$2:$Q$7, MATCH("基础攻击力A", 原始数据!$J$2:$J$7, 0), MATCH($E14, 原始数据!$K$1:$Q$1, 0))&amp;"-"&amp;INDEX(原始数据!$K$2:$Q$7, MATCH("基础攻击力B", 原始数据!$J$2:$J$7, 0), MATCH($E14, 原始数据!$K$1:$Q$1, 0))*0.9</f>
        <v>178.74-212.346</v>
      </c>
      <c r="AP14" s="13" t="str">
        <f>INDEX(原始数据!$K$2:$Q$7, MATCH("基础防御力A", 原始数据!$J$2:$J$7, 0), MATCH($E14, 原始数据!$K$1:$Q$1, 0))&amp;"-"&amp;INDEX(原始数据!$K$2:$Q$7, MATCH("基础防御力B", 原始数据!$J$2:$J$7, 0), MATCH($E14, 原始数据!$K$1:$Q$1, 0))*0.9</f>
        <v>222-253.8</v>
      </c>
      <c r="AQ14" s="13" t="str">
        <f>INDEX(原始数据!$K$2:$Q$7, MATCH("基础防御力A", 原始数据!$J$2:$J$7, 0), MATCH($E14, 原始数据!$K$1:$Q$1, 0))&amp;"-"&amp;INDEX(原始数据!$K$2:$Q$7, MATCH("基础防御力B", 原始数据!$J$2:$J$7, 0), MATCH($E14, 原始数据!$K$1:$Q$1, 0))*0.9</f>
        <v>222-253.8</v>
      </c>
      <c r="AR14" s="13" t="str">
        <f>INDEX(原始数据!$K$2:$Q$7, MATCH("基础防御力A", 原始数据!$J$2:$J$7, 0), MATCH($E14, 原始数据!$K$1:$Q$1, 0))&amp;"-"&amp;INDEX(原始数据!$K$2:$Q$7, MATCH("基础防御力B", 原始数据!$J$2:$J$7, 0), MATCH($E14, 原始数据!$K$1:$Q$1, 0))*0.9</f>
        <v>222-253.8</v>
      </c>
      <c r="AS14" s="13" t="str">
        <f>INDEX(原始数据!$K$2:$Q$7, MATCH("基础防御力A", 原始数据!$J$2:$J$7, 0), MATCH($E14, 原始数据!$K$1:$Q$1, 0))&amp;"-"&amp;INDEX(原始数据!$K$2:$Q$7, MATCH("基础防御力B", 原始数据!$J$2:$J$7, 0), MATCH($E14, 原始数据!$K$1:$Q$1, 0))*0.9</f>
        <v>222-253.8</v>
      </c>
      <c r="AT14" s="13" t="str">
        <f>INDEX(原始数据!$K$2:$Q$7, MATCH("基础生命值A", 原始数据!$J$2:$J$7, 0), MATCH($E14, 原始数据!$K$1:$Q$1, 0))&amp;"-"&amp;INDEX(原始数据!$K$2:$Q$7, MATCH("基础生命值B", 原始数据!$J$2:$J$7, 0), MATCH($E14, 原始数据!$K$1:$Q$1, 0))*0.9</f>
        <v>2742.29-3215.232</v>
      </c>
      <c r="AU14" s="13" t="str">
        <f>INDEX(原始数据!$K$2:$Q$7, MATCH("基础生命值A", 原始数据!$J$2:$J$7, 0), MATCH($E14, 原始数据!$K$1:$Q$1, 0))&amp;"-"&amp;INDEX(原始数据!$K$2:$Q$7, MATCH("基础生命值B", 原始数据!$J$2:$J$7, 0), MATCH($E14, 原始数据!$K$1:$Q$1, 0))*0.9</f>
        <v>2742.29-3215.232</v>
      </c>
      <c r="AV14" s="1" t="s">
        <v>355</v>
      </c>
    </row>
    <row r="15" spans="1:48" x14ac:dyDescent="0.2">
      <c r="B15">
        <f>ID编号[id编号]*1000+ROW()-6</f>
        <v>108009</v>
      </c>
      <c r="C15" s="1" t="s">
        <v>28</v>
      </c>
      <c r="D15">
        <v>0</v>
      </c>
      <c r="E15">
        <v>6</v>
      </c>
      <c r="G15">
        <v>0</v>
      </c>
      <c r="I15" s="13"/>
      <c r="J15" s="13"/>
      <c r="M15" s="13"/>
      <c r="N15" s="13"/>
      <c r="O15" s="13"/>
      <c r="P15" s="13"/>
      <c r="S15" s="13"/>
      <c r="T15" s="13"/>
      <c r="AA15" s="13"/>
      <c r="AC15" s="13"/>
      <c r="AL15" s="13" t="str">
        <f>INDEX(原始数据!$K$2:$Q$7, MATCH("基础攻击力A", 原始数据!$J$2:$J$7, 0), MATCH($E15, 原始数据!$K$1:$Q$1, 0))&amp;"-"&amp;INDEX(原始数据!$K$2:$Q$7, MATCH("基础攻击力B", 原始数据!$J$2:$J$7, 0), MATCH($E15, 原始数据!$K$1:$Q$1, 0))*0.9</f>
        <v>224.21-255.762</v>
      </c>
      <c r="AM15" s="13" t="str">
        <f>INDEX(原始数据!$K$2:$Q$7, MATCH("基础攻击力A", 原始数据!$J$2:$J$7, 0), MATCH($E15, 原始数据!$K$1:$Q$1, 0))&amp;"-"&amp;INDEX(原始数据!$K$2:$Q$7, MATCH("基础攻击力B", 原始数据!$J$2:$J$7, 0), MATCH($E15, 原始数据!$K$1:$Q$1, 0))*0.9</f>
        <v>224.21-255.762</v>
      </c>
      <c r="AN15" s="13" t="str">
        <f>INDEX(原始数据!$K$2:$Q$7, MATCH("基础攻击力A", 原始数据!$J$2:$J$7, 0), MATCH($E15, 原始数据!$K$1:$Q$1, 0))&amp;"-"&amp;INDEX(原始数据!$K$2:$Q$7, MATCH("基础攻击力B", 原始数据!$J$2:$J$7, 0), MATCH($E15, 原始数据!$K$1:$Q$1, 0))*0.9</f>
        <v>224.21-255.762</v>
      </c>
      <c r="AO15" s="13" t="str">
        <f>INDEX(原始数据!$K$2:$Q$7, MATCH("基础攻击力A", 原始数据!$J$2:$J$7, 0), MATCH($E15, 原始数据!$K$1:$Q$1, 0))&amp;"-"&amp;INDEX(原始数据!$K$2:$Q$7, MATCH("基础攻击力B", 原始数据!$J$2:$J$7, 0), MATCH($E15, 原始数据!$K$1:$Q$1, 0))*0.9</f>
        <v>224.21-255.762</v>
      </c>
      <c r="AP15" s="13" t="str">
        <f>INDEX(原始数据!$K$2:$Q$7, MATCH("基础防御力A", 原始数据!$J$2:$J$7, 0), MATCH($E15, 原始数据!$K$1:$Q$1, 0))&amp;"-"&amp;INDEX(原始数据!$K$2:$Q$7, MATCH("基础防御力B", 原始数据!$J$2:$J$7, 0), MATCH($E15, 原始数据!$K$1:$Q$1, 0))*0.9</f>
        <v>270-297</v>
      </c>
      <c r="AQ15" s="13" t="str">
        <f>INDEX(原始数据!$K$2:$Q$7, MATCH("基础防御力A", 原始数据!$J$2:$J$7, 0), MATCH($E15, 原始数据!$K$1:$Q$1, 0))&amp;"-"&amp;INDEX(原始数据!$K$2:$Q$7, MATCH("基础防御力B", 原始数据!$J$2:$J$7, 0), MATCH($E15, 原始数据!$K$1:$Q$1, 0))*0.9</f>
        <v>270-297</v>
      </c>
      <c r="AR15" s="13" t="str">
        <f>INDEX(原始数据!$K$2:$Q$7, MATCH("基础防御力A", 原始数据!$J$2:$J$7, 0), MATCH($E15, 原始数据!$K$1:$Q$1, 0))&amp;"-"&amp;INDEX(原始数据!$K$2:$Q$7, MATCH("基础防御力B", 原始数据!$J$2:$J$7, 0), MATCH($E15, 原始数据!$K$1:$Q$1, 0))*0.9</f>
        <v>270-297</v>
      </c>
      <c r="AS15" s="13" t="str">
        <f>INDEX(原始数据!$K$2:$Q$7, MATCH("基础防御力A", 原始数据!$J$2:$J$7, 0), MATCH($E15, 原始数据!$K$1:$Q$1, 0))&amp;"-"&amp;INDEX(原始数据!$K$2:$Q$7, MATCH("基础防御力B", 原始数据!$J$2:$J$7, 0), MATCH($E15, 原始数据!$K$1:$Q$1, 0))*0.9</f>
        <v>270-297</v>
      </c>
      <c r="AT15" s="13" t="str">
        <f>INDEX(原始数据!$K$2:$Q$7, MATCH("基础生命值A", 原始数据!$J$2:$J$7, 0), MATCH($E15, 原始数据!$K$1:$Q$1, 0))&amp;"-"&amp;INDEX(原始数据!$K$2:$Q$7, MATCH("基础生命值B", 原始数据!$J$2:$J$7, 0), MATCH($E15, 原始数据!$K$1:$Q$1, 0))*0.9</f>
        <v>3396.85-3874.617</v>
      </c>
      <c r="AU15" s="13" t="str">
        <f>INDEX(原始数据!$K$2:$Q$7, MATCH("基础生命值A", 原始数据!$J$2:$J$7, 0), MATCH($E15, 原始数据!$K$1:$Q$1, 0))&amp;"-"&amp;INDEX(原始数据!$K$2:$Q$7, MATCH("基础生命值B", 原始数据!$J$2:$J$7, 0), MATCH($E15, 原始数据!$K$1:$Q$1, 0))*0.9</f>
        <v>3396.85-3874.617</v>
      </c>
      <c r="AV15" s="1" t="s">
        <v>356</v>
      </c>
    </row>
    <row r="16" spans="1:48" x14ac:dyDescent="0.2">
      <c r="B16">
        <f>ID编号[id编号]*1000+ROW()-6</f>
        <v>108010</v>
      </c>
      <c r="C16" s="1" t="s">
        <v>110</v>
      </c>
      <c r="D16">
        <v>0</v>
      </c>
      <c r="E16">
        <v>7</v>
      </c>
      <c r="G16">
        <v>0</v>
      </c>
      <c r="I16" s="13"/>
      <c r="J16" s="13"/>
      <c r="M16" s="13"/>
      <c r="N16" s="13"/>
      <c r="O16" s="13"/>
      <c r="P16" s="13"/>
      <c r="S16" s="13"/>
      <c r="T16" s="13"/>
      <c r="AA16" s="13"/>
      <c r="AC16" s="13"/>
      <c r="AL16" s="13" t="str">
        <f>INDEX(原始数据!$K$2:$Q$7, MATCH("基础攻击力A", 原始数据!$J$2:$J$7, 0), MATCH($E16, 原始数据!$K$1:$Q$1, 0))&amp;"-"&amp;INDEX(原始数据!$K$2:$Q$7, MATCH("基础攻击力B", 原始数据!$J$2:$J$7, 0), MATCH($E16, 原始数据!$K$1:$Q$1, 0))*0.9</f>
        <v>271.93-278.145</v>
      </c>
      <c r="AM16" s="13" t="str">
        <f>INDEX(原始数据!$K$2:$Q$7, MATCH("基础攻击力A", 原始数据!$J$2:$J$7, 0), MATCH($E16, 原始数据!$K$1:$Q$1, 0))&amp;"-"&amp;INDEX(原始数据!$K$2:$Q$7, MATCH("基础攻击力B", 原始数据!$J$2:$J$7, 0), MATCH($E16, 原始数据!$K$1:$Q$1, 0))*0.9</f>
        <v>271.93-278.145</v>
      </c>
      <c r="AN16" s="13" t="str">
        <f>INDEX(原始数据!$K$2:$Q$7, MATCH("基础攻击力A", 原始数据!$J$2:$J$7, 0), MATCH($E16, 原始数据!$K$1:$Q$1, 0))&amp;"-"&amp;INDEX(原始数据!$K$2:$Q$7, MATCH("基础攻击力B", 原始数据!$J$2:$J$7, 0), MATCH($E16, 原始数据!$K$1:$Q$1, 0))*0.9</f>
        <v>271.93-278.145</v>
      </c>
      <c r="AO16" s="13" t="str">
        <f>INDEX(原始数据!$K$2:$Q$7, MATCH("基础攻击力A", 原始数据!$J$2:$J$7, 0), MATCH($E16, 原始数据!$K$1:$Q$1, 0))&amp;"-"&amp;INDEX(原始数据!$K$2:$Q$7, MATCH("基础攻击力B", 原始数据!$J$2:$J$7, 0), MATCH($E16, 原始数据!$K$1:$Q$1, 0))*0.9</f>
        <v>271.93-278.145</v>
      </c>
      <c r="AP16" s="13" t="str">
        <f>INDEX(原始数据!$K$2:$Q$7, MATCH("基础防御力A", 原始数据!$J$2:$J$7, 0), MATCH($E16, 原始数据!$K$1:$Q$1, 0))&amp;"-"&amp;INDEX(原始数据!$K$2:$Q$7, MATCH("基础防御力B", 原始数据!$J$2:$J$7, 0), MATCH($E16, 原始数据!$K$1:$Q$1, 0))*0.9</f>
        <v>318-318.6</v>
      </c>
      <c r="AQ16" s="13" t="str">
        <f>INDEX(原始数据!$K$2:$Q$7, MATCH("基础防御力A", 原始数据!$J$2:$J$7, 0), MATCH($E16, 原始数据!$K$1:$Q$1, 0))&amp;"-"&amp;INDEX(原始数据!$K$2:$Q$7, MATCH("基础防御力B", 原始数据!$J$2:$J$7, 0), MATCH($E16, 原始数据!$K$1:$Q$1, 0))*0.9</f>
        <v>318-318.6</v>
      </c>
      <c r="AR16" s="13" t="str">
        <f>INDEX(原始数据!$K$2:$Q$7, MATCH("基础防御力A", 原始数据!$J$2:$J$7, 0), MATCH($E16, 原始数据!$K$1:$Q$1, 0))&amp;"-"&amp;INDEX(原始数据!$K$2:$Q$7, MATCH("基础防御力B", 原始数据!$J$2:$J$7, 0), MATCH($E16, 原始数据!$K$1:$Q$1, 0))*0.9</f>
        <v>318-318.6</v>
      </c>
      <c r="AS16" s="13" t="str">
        <f>INDEX(原始数据!$K$2:$Q$7, MATCH("基础防御力A", 原始数据!$J$2:$J$7, 0), MATCH($E16, 原始数据!$K$1:$Q$1, 0))&amp;"-"&amp;INDEX(原始数据!$K$2:$Q$7, MATCH("基础防御力B", 原始数据!$J$2:$J$7, 0), MATCH($E16, 原始数据!$K$1:$Q$1, 0))*0.9</f>
        <v>318-318.6</v>
      </c>
      <c r="AT16" s="13" t="str">
        <f>INDEX(原始数据!$K$2:$Q$7, MATCH("基础生命值A", 原始数据!$J$2:$J$7, 0), MATCH($E16, 原始数据!$K$1:$Q$1, 0))&amp;"-"&amp;INDEX(原始数据!$K$2:$Q$7, MATCH("基础生命值B", 原始数据!$J$2:$J$7, 0), MATCH($E16, 原始数据!$K$1:$Q$1, 0))*0.9</f>
        <v>4118.7-4212.702</v>
      </c>
      <c r="AU16" s="13" t="str">
        <f>INDEX(原始数据!$K$2:$Q$7, MATCH("基础生命值A", 原始数据!$J$2:$J$7, 0), MATCH($E16, 原始数据!$K$1:$Q$1, 0))&amp;"-"&amp;INDEX(原始数据!$K$2:$Q$7, MATCH("基础生命值B", 原始数据!$J$2:$J$7, 0), MATCH($E16, 原始数据!$K$1:$Q$1, 0))*0.9</f>
        <v>4118.7-4212.702</v>
      </c>
      <c r="AV16" s="1" t="s">
        <v>357</v>
      </c>
    </row>
    <row r="17" spans="2:48" x14ac:dyDescent="0.2">
      <c r="B17">
        <f>ID编号[id编号]*1000+ROW()-6</f>
        <v>108011</v>
      </c>
      <c r="C17" s="1" t="s">
        <v>36</v>
      </c>
      <c r="D17">
        <v>1</v>
      </c>
      <c r="E17">
        <v>1</v>
      </c>
      <c r="F17">
        <v>6</v>
      </c>
      <c r="G17">
        <v>0</v>
      </c>
      <c r="I17" s="6"/>
      <c r="K17" s="13" t="str">
        <f>TEXT(INDEX(原始数据!$B$3:$H$26, MATCH(K$2, 原始数据!$A$3:$A$26, 0), MATCH($E17, 原始数据!$B$2:$H$2, 0))*80,"0.00")&amp;"-"&amp;TEXT(INDEX(原始数据!$B$3:$H$26, MATCH(K$2, 原始数据!$A$3:$A$26, 0), MATCH($E17, 原始数据!$B$2:$H$2, 0))*0.95,"0.00%")</f>
        <v>1.60-1.90%</v>
      </c>
      <c r="L17" s="13" t="str">
        <f>TEXT(INDEX(原始数据!$B$3:$H$26, MATCH(L$2, 原始数据!$A$3:$A$26, 0), MATCH($E17, 原始数据!$B$2:$H$2, 0))*80,"0.00")&amp;"-"&amp;TEXT(INDEX(原始数据!$B$3:$H$26, MATCH(L$2, 原始数据!$A$3:$A$26, 0), MATCH($E17, 原始数据!$B$2:$H$2, 0))*0.95,"0.00%")</f>
        <v>1.60-1.90%</v>
      </c>
      <c r="M17" s="13" t="str">
        <f>INDEX(原始数据!$B$3:$H$26, MATCH(M$2, 原始数据!$A$3:$A$26, 0), MATCH($E17, 原始数据!$B$2:$H$2, 0))*0.8&amp;"-"&amp;INDEX(原始数据!$B$3:$H$26, MATCH(M$2, 原始数据!$A$3:$A$26, 0), MATCH($E17, 原始数据!$B$2:$H$2, 0))*0.95</f>
        <v>6-7.125</v>
      </c>
      <c r="N17" s="13" t="str">
        <f>INDEX(原始数据!$B$3:$H$26, MATCH(N$2, 原始数据!$A$3:$A$26, 0), MATCH($E17, 原始数据!$B$2:$H$2, 0))*0.8&amp;"-"&amp;INDEX(原始数据!$B$3:$H$26, MATCH(N$2, 原始数据!$A$3:$A$26, 0), MATCH($E17, 原始数据!$B$2:$H$2, 0))*0.95</f>
        <v>6-7.125</v>
      </c>
      <c r="O17" s="13"/>
      <c r="P17" s="13"/>
      <c r="Q17" s="13" t="str">
        <f>TEXT(INDEX(原始数据!$B$3:$H$26, MATCH(Q$2, 原始数据!$A$3:$A$26, 0), MATCH($E17, 原始数据!$B$2:$H$2, 0))*80,"0.00")&amp;"-"&amp;TEXT(INDEX(原始数据!$B$3:$H$26, MATCH(Q$2, 原始数据!$A$3:$A$26, 0), MATCH($E17, 原始数据!$B$2:$H$2, 0))*0.95,"0.00%")</f>
        <v>1.60-1.90%</v>
      </c>
      <c r="R17" s="13" t="str">
        <f>TEXT(INDEX(原始数据!$B$3:$H$26, MATCH(R$2, 原始数据!$A$3:$A$26, 0), MATCH($E17, 原始数据!$B$2:$H$2, 0))*80,"0.00")&amp;"-"&amp;TEXT(INDEX(原始数据!$B$3:$H$26, MATCH(R$2, 原始数据!$A$3:$A$26, 0), MATCH($E17, 原始数据!$B$2:$H$2, 0))*0.95,"0.00%")</f>
        <v>1.60-1.90%</v>
      </c>
      <c r="S17" s="13" t="str">
        <f>INDEX(原始数据!$B$3:$H$26, MATCH(S$2, 原始数据!$A$3:$A$26, 0), MATCH($E17, 原始数据!$B$2:$H$2, 0))*0.8&amp;"-"&amp;INDEX(原始数据!$B$3:$H$26, MATCH(S$2, 原始数据!$A$3:$A$26, 0), MATCH($E17, 原始数据!$B$2:$H$2, 0))*0.95</f>
        <v>4-4.75</v>
      </c>
      <c r="T17" s="13" t="str">
        <f>INDEX(原始数据!$B$3:$H$26, MATCH(T$2, 原始数据!$A$3:$A$26, 0), MATCH($E17, 原始数据!$B$2:$H$2, 0))*0.8&amp;"-"&amp;INDEX(原始数据!$B$3:$H$26, MATCH(T$2, 原始数据!$A$3:$A$26, 0), MATCH($E17, 原始数据!$B$2:$H$2, 0))*0.95</f>
        <v>4-4.75</v>
      </c>
      <c r="U17" s="13" t="str">
        <f>INDEX(原始数据!$B$3:$H$26, MATCH(U$2, 原始数据!$A$3:$A$26, 0), MATCH($E17, 原始数据!$B$2:$H$2, 0))*0.8&amp;"-"&amp;INDEX(原始数据!$B$3:$H$26, MATCH(U$2, 原始数据!$A$3:$A$26, 0), MATCH($E17, 原始数据!$B$2:$H$2, 0))*0.95</f>
        <v>0.8-0.95</v>
      </c>
      <c r="V17" s="13" t="str">
        <f>INDEX(原始数据!$B$3:$H$26, MATCH(V$2, 原始数据!$A$3:$A$26, 0), MATCH($E17, 原始数据!$B$2:$H$2, 0))*0.8&amp;"-"&amp;INDEX(原始数据!$B$3:$H$26, MATCH(V$2, 原始数据!$A$3:$A$26, 0), MATCH($E17, 原始数据!$B$2:$H$2, 0))*0.95</f>
        <v>3.2-3.8</v>
      </c>
      <c r="AA17" s="13"/>
      <c r="AB17" s="13" t="str">
        <f>TEXT(INDEX(原始数据!$B$3:$H$26, MATCH(AB$2, 原始数据!$A$3:$A$26, 0), MATCH($E17, 原始数据!$B$2:$H$2, 0))*80,"0.00")&amp;"-"&amp;TEXT(INDEX(原始数据!$B$3:$H$26, MATCH(AB$2, 原始数据!$A$3:$A$26, 0), MATCH($E17, 原始数据!$B$2:$H$2, 0))*0.95,"0.00%")</f>
        <v>1.20-1.43%</v>
      </c>
      <c r="AC17" s="13" t="str">
        <f>INDEX(原始数据!$B$3:$H$26, MATCH(AC$2, 原始数据!$A$3:$A$26, 0), MATCH($E17, 原始数据!$B$2:$H$2, 0))*0.8&amp;"-"&amp;INDEX(原始数据!$B$3:$H$26, MATCH(AC$2, 原始数据!$A$3:$A$26, 0), MATCH($E17, 原始数据!$B$2:$H$2, 0))*0.95</f>
        <v>60-71.25</v>
      </c>
      <c r="AD17" s="13"/>
      <c r="AF17" s="13"/>
      <c r="AH17" s="13"/>
      <c r="AJ17" s="13"/>
      <c r="AV17" s="1" t="s">
        <v>358</v>
      </c>
    </row>
    <row r="18" spans="2:48" x14ac:dyDescent="0.2">
      <c r="B18">
        <f>ID编号[id编号]*1000+ROW()-6</f>
        <v>108012</v>
      </c>
      <c r="C18" s="1" t="s">
        <v>29</v>
      </c>
      <c r="D18">
        <v>1</v>
      </c>
      <c r="E18">
        <v>1</v>
      </c>
      <c r="F18">
        <v>7</v>
      </c>
      <c r="G18">
        <v>0</v>
      </c>
      <c r="I18" s="6"/>
      <c r="M18" s="13"/>
      <c r="N18" s="13"/>
      <c r="O18" s="13"/>
      <c r="P18" s="13"/>
      <c r="S18" s="13"/>
      <c r="T18" s="13"/>
      <c r="W18" s="13" t="str">
        <f>TEXT(INDEX(原始数据!$B$3:$H$26, MATCH(W$2, 原始数据!$A$3:$A$26, 0), MATCH($E18, 原始数据!$B$2:$H$2, 0))*80,"0.00")&amp;"-"&amp;TEXT(INDEX(原始数据!$B$3:$H$26, MATCH(W$2, 原始数据!$A$3:$A$26, 0), MATCH($E18, 原始数据!$B$2:$H$2, 0))*0.95,"0.00%")</f>
        <v>0.80-0.95%</v>
      </c>
      <c r="X18" s="13" t="str">
        <f>TEXT(INDEX(原始数据!$B$3:$H$26, MATCH(X$2, 原始数据!$A$3:$A$26, 0), MATCH($E18, 原始数据!$B$2:$H$2, 0))*80,"0.00")&amp;"-"&amp;TEXT(INDEX(原始数据!$B$3:$H$26, MATCH(X$2, 原始数据!$A$3:$A$26, 0), MATCH($E18, 原始数据!$B$2:$H$2, 0))*0.95,"0.00%")</f>
        <v>0.80-0.95%</v>
      </c>
      <c r="Y18" s="13" t="str">
        <f>TEXT(INDEX(原始数据!$B$3:$H$26, MATCH(Y$2, 原始数据!$A$3:$A$26, 0), MATCH($E18, 原始数据!$B$2:$H$2, 0))*80,"0.00")&amp;"-"&amp;TEXT(INDEX(原始数据!$B$3:$H$26, MATCH(Y$2, 原始数据!$A$3:$A$26, 0), MATCH($E18, 原始数据!$B$2:$H$2, 0))*0.95,"0.00%")</f>
        <v>1.00-1.19%</v>
      </c>
      <c r="Z18" s="13" t="str">
        <f>TEXT(INDEX(原始数据!$B$3:$H$26, MATCH(Z$2, 原始数据!$A$3:$A$26, 0), MATCH($E18, 原始数据!$B$2:$H$2, 0))*80,"0.00")&amp;"-"&amp;TEXT(INDEX(原始数据!$B$3:$H$26, MATCH(Z$2, 原始数据!$A$3:$A$26, 0), MATCH($E18, 原始数据!$B$2:$H$2, 0))*0.95,"0.00%")</f>
        <v>4.00-4.75%</v>
      </c>
      <c r="AA18" s="13"/>
      <c r="AC18" s="13"/>
      <c r="AD18" s="13" t="str">
        <f>INDEX(原始数据!$B$3:$H$26, MATCH(AD$2, 原始数据!$A$3:$A$26, 0), MATCH($E18, 原始数据!$B$2:$H$2, 0))*0.8&amp;"-"&amp;INDEX(原始数据!$B$3:$H$26, MATCH(AD$2, 原始数据!$A$3:$A$26, 0), MATCH($E18, 原始数据!$B$2:$H$2, 0))*0.95</f>
        <v>12-14.25</v>
      </c>
      <c r="AE18" s="13" t="str">
        <f>TEXT(INDEX(原始数据!$B$3:$H$26, MATCH(AE$2, 原始数据!$A$3:$A$26, 0), MATCH($E18, 原始数据!$B$2:$H$2, 0))*80,"0.00")&amp;"-"&amp;TEXT(INDEX(原始数据!$B$3:$H$26, MATCH(AE$2, 原始数据!$A$3:$A$26, 0), MATCH($E18, 原始数据!$B$2:$H$2, 0))*0.95,"0.00%")</f>
        <v>10.00-11.88%</v>
      </c>
      <c r="AF18" s="13" t="str">
        <f>INDEX(原始数据!$B$3:$H$26, MATCH(AF$2, 原始数据!$A$3:$A$26, 0), MATCH($E18, 原始数据!$B$2:$H$2, 0))*0.8&amp;"-"&amp;INDEX(原始数据!$B$3:$H$26, MATCH(AF$2, 原始数据!$A$3:$A$26, 0), MATCH($E18, 原始数据!$B$2:$H$2, 0))*0.95</f>
        <v>0.6-0.7125</v>
      </c>
      <c r="AG18" s="13" t="str">
        <f>TEXT(INDEX(原始数据!$B$3:$H$26, MATCH(AG$2, 原始数据!$A$3:$A$26, 0), MATCH($E18, 原始数据!$B$2:$H$2, 0))*80,"0.00")&amp;"-"&amp;TEXT(INDEX(原始数据!$B$3:$H$26, MATCH(AG$2, 原始数据!$A$3:$A$26, 0), MATCH($E18, 原始数据!$B$2:$H$2, 0))*0.95,"0.00%")</f>
        <v>12.00-14.25%</v>
      </c>
      <c r="AH18" s="13" t="str">
        <f>INDEX(原始数据!$B$3:$H$26, MATCH(AH$2, 原始数据!$A$3:$A$26, 0), MATCH($E18, 原始数据!$B$2:$H$2, 0))*0.8&amp;"-"&amp;INDEX(原始数据!$B$3:$H$26, MATCH(AH$2, 原始数据!$A$3:$A$26, 0), MATCH($E18, 原始数据!$B$2:$H$2, 0))*0.95</f>
        <v>12-14.25</v>
      </c>
      <c r="AI18" s="13" t="str">
        <f>TEXT(INDEX(原始数据!$B$3:$H$26, MATCH(AI$2, 原始数据!$A$3:$A$26, 0), MATCH($E18, 原始数据!$B$2:$H$2, 0))*80,"0.00")&amp;"-"&amp;TEXT(INDEX(原始数据!$B$3:$H$26, MATCH(AI$2, 原始数据!$A$3:$A$26, 0), MATCH($E18, 原始数据!$B$2:$H$2, 0))*0.95,"0.00%")</f>
        <v>10.00-11.88%</v>
      </c>
      <c r="AJ18" s="13" t="str">
        <f>INDEX(原始数据!$B$3:$H$26, MATCH(AJ$2, 原始数据!$A$3:$A$26, 0), MATCH($E18, 原始数据!$B$2:$H$2, 0))*0.8&amp;"-"&amp;INDEX(原始数据!$B$3:$H$26, MATCH(AJ$2, 原始数据!$A$3:$A$26, 0), MATCH($E18, 原始数据!$B$2:$H$2, 0))*0.95</f>
        <v>0.6-0.7125</v>
      </c>
      <c r="AK18" s="13" t="str">
        <f>TEXT(INDEX(原始数据!$B$3:$H$26, MATCH(AK$2, 原始数据!$A$3:$A$26, 0), MATCH($E18, 原始数据!$B$2:$H$2, 0))*80,"0.00")&amp;"-"&amp;TEXT(INDEX(原始数据!$B$3:$H$26, MATCH(AK$2, 原始数据!$A$3:$A$26, 0), MATCH($E18, 原始数据!$B$2:$H$2, 0))*0.95,"0.00%")</f>
        <v>12.00-14.25%</v>
      </c>
      <c r="AV18" s="1" t="s">
        <v>359</v>
      </c>
    </row>
    <row r="19" spans="2:48" x14ac:dyDescent="0.2">
      <c r="B19">
        <f>ID编号[id编号]*1000+ROW()-6</f>
        <v>108013</v>
      </c>
      <c r="C19" s="1" t="s">
        <v>37</v>
      </c>
      <c r="D19">
        <v>1</v>
      </c>
      <c r="E19">
        <v>2</v>
      </c>
      <c r="F19">
        <v>6</v>
      </c>
      <c r="G19">
        <v>0</v>
      </c>
      <c r="I19" s="6"/>
      <c r="K19" s="13" t="str">
        <f>TEXT(INDEX(原始数据!$B$3:$H$26, MATCH(K$2, 原始数据!$A$3:$A$26, 0), MATCH($E19, 原始数据!$B$2:$H$2, 0))*80,"0.00")&amp;"-"&amp;TEXT(INDEX(原始数据!$B$3:$H$26, MATCH(K$2, 原始数据!$A$3:$A$26, 0), MATCH($E19, 原始数据!$B$2:$H$2, 0))*0.95,"0.00%")</f>
        <v>3.20-3.80%</v>
      </c>
      <c r="L19" s="13" t="str">
        <f>TEXT(INDEX(原始数据!$B$3:$H$26, MATCH(L$2, 原始数据!$A$3:$A$26, 0), MATCH($E19, 原始数据!$B$2:$H$2, 0))*80,"0.00")&amp;"-"&amp;TEXT(INDEX(原始数据!$B$3:$H$26, MATCH(L$2, 原始数据!$A$3:$A$26, 0), MATCH($E19, 原始数据!$B$2:$H$2, 0))*0.95,"0.00%")</f>
        <v>3.20-3.80%</v>
      </c>
      <c r="M19" s="13" t="str">
        <f>INDEX(原始数据!$B$3:$H$26, MATCH(M$2, 原始数据!$A$3:$A$26, 0), MATCH($E19, 原始数据!$B$2:$H$2, 0))*0.8&amp;"-"&amp;INDEX(原始数据!$B$3:$H$26, MATCH(M$2, 原始数据!$A$3:$A$26, 0), MATCH($E19, 原始数据!$B$2:$H$2, 0))*0.95</f>
        <v>12-14.25</v>
      </c>
      <c r="N19" s="13" t="str">
        <f>INDEX(原始数据!$B$3:$H$26, MATCH(N$2, 原始数据!$A$3:$A$26, 0), MATCH($E19, 原始数据!$B$2:$H$2, 0))*0.8&amp;"-"&amp;INDEX(原始数据!$B$3:$H$26, MATCH(N$2, 原始数据!$A$3:$A$26, 0), MATCH($E19, 原始数据!$B$2:$H$2, 0))*0.95</f>
        <v>12-14.25</v>
      </c>
      <c r="O19" s="13"/>
      <c r="P19" s="13"/>
      <c r="Q19" s="13" t="str">
        <f>TEXT(INDEX(原始数据!$B$3:$H$26, MATCH(Q$2, 原始数据!$A$3:$A$26, 0), MATCH($E19, 原始数据!$B$2:$H$2, 0))*80,"0.00")&amp;"-"&amp;TEXT(INDEX(原始数据!$B$3:$H$26, MATCH(Q$2, 原始数据!$A$3:$A$26, 0), MATCH($E19, 原始数据!$B$2:$H$2, 0))*0.95,"0.00%")</f>
        <v>3.20-3.80%</v>
      </c>
      <c r="R19" s="13" t="str">
        <f>TEXT(INDEX(原始数据!$B$3:$H$26, MATCH(R$2, 原始数据!$A$3:$A$26, 0), MATCH($E19, 原始数据!$B$2:$H$2, 0))*80,"0.00")&amp;"-"&amp;TEXT(INDEX(原始数据!$B$3:$H$26, MATCH(R$2, 原始数据!$A$3:$A$26, 0), MATCH($E19, 原始数据!$B$2:$H$2, 0))*0.95,"0.00%")</f>
        <v>3.20-3.80%</v>
      </c>
      <c r="S19" s="13" t="str">
        <f>INDEX(原始数据!$B$3:$H$26, MATCH(S$2, 原始数据!$A$3:$A$26, 0), MATCH($E19, 原始数据!$B$2:$H$2, 0))*0.8&amp;"-"&amp;INDEX(原始数据!$B$3:$H$26, MATCH(S$2, 原始数据!$A$3:$A$26, 0), MATCH($E19, 原始数据!$B$2:$H$2, 0))*0.95</f>
        <v>8-9.5</v>
      </c>
      <c r="T19" s="13" t="str">
        <f>INDEX(原始数据!$B$3:$H$26, MATCH(T$2, 原始数据!$A$3:$A$26, 0), MATCH($E19, 原始数据!$B$2:$H$2, 0))*0.8&amp;"-"&amp;INDEX(原始数据!$B$3:$H$26, MATCH(T$2, 原始数据!$A$3:$A$26, 0), MATCH($E19, 原始数据!$B$2:$H$2, 0))*0.95</f>
        <v>8-9.5</v>
      </c>
      <c r="U19" s="13" t="str">
        <f>INDEX(原始数据!$B$3:$H$26, MATCH(U$2, 原始数据!$A$3:$A$26, 0), MATCH($E19, 原始数据!$B$2:$H$2, 0))*0.8&amp;"-"&amp;INDEX(原始数据!$B$3:$H$26, MATCH(U$2, 原始数据!$A$3:$A$26, 0), MATCH($E19, 原始数据!$B$2:$H$2, 0))*0.95</f>
        <v>1.6-1.9</v>
      </c>
      <c r="V19" s="13" t="str">
        <f>INDEX(原始数据!$B$3:$H$26, MATCH(V$2, 原始数据!$A$3:$A$26, 0), MATCH($E19, 原始数据!$B$2:$H$2, 0))*0.8&amp;"-"&amp;INDEX(原始数据!$B$3:$H$26, MATCH(V$2, 原始数据!$A$3:$A$26, 0), MATCH($E19, 原始数据!$B$2:$H$2, 0))*0.95</f>
        <v>6.4-7.6</v>
      </c>
      <c r="AA19" s="13"/>
      <c r="AB19" s="13" t="str">
        <f>TEXT(INDEX(原始数据!$B$3:$H$26, MATCH(AB$2, 原始数据!$A$3:$A$26, 0), MATCH($E19, 原始数据!$B$2:$H$2, 0))*80,"0.00")&amp;"-"&amp;TEXT(INDEX(原始数据!$B$3:$H$26, MATCH(AB$2, 原始数据!$A$3:$A$26, 0), MATCH($E19, 原始数据!$B$2:$H$2, 0))*0.95,"0.00%")</f>
        <v>2.40-2.85%</v>
      </c>
      <c r="AC19" s="13" t="str">
        <f>INDEX(原始数据!$B$3:$H$26, MATCH(AC$2, 原始数据!$A$3:$A$26, 0), MATCH($E19, 原始数据!$B$2:$H$2, 0))*0.8&amp;"-"&amp;INDEX(原始数据!$B$3:$H$26, MATCH(AC$2, 原始数据!$A$3:$A$26, 0), MATCH($E19, 原始数据!$B$2:$H$2, 0))*0.95</f>
        <v>120-142.5</v>
      </c>
      <c r="AD19" s="13"/>
      <c r="AF19" s="13"/>
      <c r="AH19" s="13"/>
      <c r="AJ19" s="13"/>
      <c r="AV19" s="1" t="s">
        <v>360</v>
      </c>
    </row>
    <row r="20" spans="2:48" x14ac:dyDescent="0.2">
      <c r="B20">
        <f>ID编号[id编号]*1000+ROW()-6</f>
        <v>108014</v>
      </c>
      <c r="C20" s="1" t="s">
        <v>30</v>
      </c>
      <c r="D20">
        <v>1</v>
      </c>
      <c r="E20">
        <v>2</v>
      </c>
      <c r="F20">
        <v>7</v>
      </c>
      <c r="G20">
        <v>0</v>
      </c>
      <c r="I20" s="6"/>
      <c r="M20" s="13"/>
      <c r="N20" s="13"/>
      <c r="O20" s="13"/>
      <c r="P20" s="13"/>
      <c r="S20" s="13"/>
      <c r="T20" s="13"/>
      <c r="W20" s="13" t="str">
        <f>TEXT(INDEX(原始数据!$B$3:$H$26, MATCH(W$2, 原始数据!$A$3:$A$26, 0), MATCH($E20, 原始数据!$B$2:$H$2, 0))*80,"0.00")&amp;"-"&amp;TEXT(INDEX(原始数据!$B$3:$H$26, MATCH(W$2, 原始数据!$A$3:$A$26, 0), MATCH($E20, 原始数据!$B$2:$H$2, 0))*0.95,"0.00%")</f>
        <v>1.60-1.90%</v>
      </c>
      <c r="X20" s="13" t="str">
        <f>TEXT(INDEX(原始数据!$B$3:$H$26, MATCH(X$2, 原始数据!$A$3:$A$26, 0), MATCH($E20, 原始数据!$B$2:$H$2, 0))*80,"0.00")&amp;"-"&amp;TEXT(INDEX(原始数据!$B$3:$H$26, MATCH(X$2, 原始数据!$A$3:$A$26, 0), MATCH($E20, 原始数据!$B$2:$H$2, 0))*0.95,"0.00%")</f>
        <v>1.60-1.90%</v>
      </c>
      <c r="Y20" s="13" t="str">
        <f>TEXT(INDEX(原始数据!$B$3:$H$26, MATCH(Y$2, 原始数据!$A$3:$A$26, 0), MATCH($E20, 原始数据!$B$2:$H$2, 0))*80,"0.00")&amp;"-"&amp;TEXT(INDEX(原始数据!$B$3:$H$26, MATCH(Y$2, 原始数据!$A$3:$A$26, 0), MATCH($E20, 原始数据!$B$2:$H$2, 0))*0.95,"0.00%")</f>
        <v>2.00-2.38%</v>
      </c>
      <c r="Z20" s="13" t="str">
        <f>TEXT(INDEX(原始数据!$B$3:$H$26, MATCH(Z$2, 原始数据!$A$3:$A$26, 0), MATCH($E20, 原始数据!$B$2:$H$2, 0))*80,"0.00")&amp;"-"&amp;TEXT(INDEX(原始数据!$B$3:$H$26, MATCH(Z$2, 原始数据!$A$3:$A$26, 0), MATCH($E20, 原始数据!$B$2:$H$2, 0))*0.95,"0.00%")</f>
        <v>8.00-9.50%</v>
      </c>
      <c r="AA20" s="13"/>
      <c r="AC20" s="13"/>
      <c r="AD20" s="13" t="str">
        <f>INDEX(原始数据!$B$3:$H$26, MATCH(AD$2, 原始数据!$A$3:$A$26, 0), MATCH($E20, 原始数据!$B$2:$H$2, 0))*0.8&amp;"-"&amp;INDEX(原始数据!$B$3:$H$26, MATCH(AD$2, 原始数据!$A$3:$A$26, 0), MATCH($E20, 原始数据!$B$2:$H$2, 0))*0.95</f>
        <v>24-28.5</v>
      </c>
      <c r="AE20" s="13" t="str">
        <f>TEXT(INDEX(原始数据!$B$3:$H$26, MATCH(AE$2, 原始数据!$A$3:$A$26, 0), MATCH($E20, 原始数据!$B$2:$H$2, 0))*80,"0.00")&amp;"-"&amp;TEXT(INDEX(原始数据!$B$3:$H$26, MATCH(AE$2, 原始数据!$A$3:$A$26, 0), MATCH($E20, 原始数据!$B$2:$H$2, 0))*0.95,"0.00%")</f>
        <v>20.00-23.75%</v>
      </c>
      <c r="AF20" s="13" t="str">
        <f>INDEX(原始数据!$B$3:$H$26, MATCH(AF$2, 原始数据!$A$3:$A$26, 0), MATCH($E20, 原始数据!$B$2:$H$2, 0))*0.8&amp;"-"&amp;INDEX(原始数据!$B$3:$H$26, MATCH(AF$2, 原始数据!$A$3:$A$26, 0), MATCH($E20, 原始数据!$B$2:$H$2, 0))*0.95</f>
        <v>1.2-1.425</v>
      </c>
      <c r="AG20" s="13" t="str">
        <f>TEXT(INDEX(原始数据!$B$3:$H$26, MATCH(AG$2, 原始数据!$A$3:$A$26, 0), MATCH($E20, 原始数据!$B$2:$H$2, 0))*80,"0.00")&amp;"-"&amp;TEXT(INDEX(原始数据!$B$3:$H$26, MATCH(AG$2, 原始数据!$A$3:$A$26, 0), MATCH($E20, 原始数据!$B$2:$H$2, 0))*0.95,"0.00%")</f>
        <v>24.00-28.50%</v>
      </c>
      <c r="AH20" s="13" t="str">
        <f>INDEX(原始数据!$B$3:$H$26, MATCH(AH$2, 原始数据!$A$3:$A$26, 0), MATCH($E20, 原始数据!$B$2:$H$2, 0))*0.8&amp;"-"&amp;INDEX(原始数据!$B$3:$H$26, MATCH(AH$2, 原始数据!$A$3:$A$26, 0), MATCH($E20, 原始数据!$B$2:$H$2, 0))*0.95</f>
        <v>24-28.5</v>
      </c>
      <c r="AI20" s="13" t="str">
        <f>TEXT(INDEX(原始数据!$B$3:$H$26, MATCH(AI$2, 原始数据!$A$3:$A$26, 0), MATCH($E20, 原始数据!$B$2:$H$2, 0))*80,"0.00")&amp;"-"&amp;TEXT(INDEX(原始数据!$B$3:$H$26, MATCH(AI$2, 原始数据!$A$3:$A$26, 0), MATCH($E20, 原始数据!$B$2:$H$2, 0))*0.95,"0.00%")</f>
        <v>20.00-23.75%</v>
      </c>
      <c r="AJ20" s="13" t="str">
        <f>INDEX(原始数据!$B$3:$H$26, MATCH(AJ$2, 原始数据!$A$3:$A$26, 0), MATCH($E20, 原始数据!$B$2:$H$2, 0))*0.8&amp;"-"&amp;INDEX(原始数据!$B$3:$H$26, MATCH(AJ$2, 原始数据!$A$3:$A$26, 0), MATCH($E20, 原始数据!$B$2:$H$2, 0))*0.95</f>
        <v>1.2-1.425</v>
      </c>
      <c r="AK20" s="13" t="str">
        <f>TEXT(INDEX(原始数据!$B$3:$H$26, MATCH(AK$2, 原始数据!$A$3:$A$26, 0), MATCH($E20, 原始数据!$B$2:$H$2, 0))*80,"0.00")&amp;"-"&amp;TEXT(INDEX(原始数据!$B$3:$H$26, MATCH(AK$2, 原始数据!$A$3:$A$26, 0), MATCH($E20, 原始数据!$B$2:$H$2, 0))*0.95,"0.00%")</f>
        <v>24.00-28.50%</v>
      </c>
      <c r="AV20" s="1" t="s">
        <v>361</v>
      </c>
    </row>
    <row r="21" spans="2:48" x14ac:dyDescent="0.2">
      <c r="B21">
        <f>ID编号[id编号]*1000+ROW()-6</f>
        <v>108015</v>
      </c>
      <c r="C21" s="1" t="s">
        <v>38</v>
      </c>
      <c r="D21">
        <v>1</v>
      </c>
      <c r="E21">
        <v>3</v>
      </c>
      <c r="F21">
        <v>6</v>
      </c>
      <c r="G21">
        <v>0</v>
      </c>
      <c r="I21" s="6"/>
      <c r="K21" s="13" t="str">
        <f>TEXT(INDEX(原始数据!$B$3:$H$26, MATCH(K$2, 原始数据!$A$3:$A$26, 0), MATCH($E21, 原始数据!$B$2:$H$2, 0))*80,"0.00")&amp;"-"&amp;TEXT(INDEX(原始数据!$B$3:$H$26, MATCH(K$2, 原始数据!$A$3:$A$26, 0), MATCH($E21, 原始数据!$B$2:$H$2, 0))*0.95,"0.00%")</f>
        <v>4.80-5.70%</v>
      </c>
      <c r="L21" s="13" t="str">
        <f>TEXT(INDEX(原始数据!$B$3:$H$26, MATCH(L$2, 原始数据!$A$3:$A$26, 0), MATCH($E21, 原始数据!$B$2:$H$2, 0))*80,"0.00")&amp;"-"&amp;TEXT(INDEX(原始数据!$B$3:$H$26, MATCH(L$2, 原始数据!$A$3:$A$26, 0), MATCH($E21, 原始数据!$B$2:$H$2, 0))*0.95,"0.00%")</f>
        <v>4.80-5.70%</v>
      </c>
      <c r="M21" s="13" t="str">
        <f>INDEX(原始数据!$B$3:$H$26, MATCH(M$2, 原始数据!$A$3:$A$26, 0), MATCH($E21, 原始数据!$B$2:$H$2, 0))*0.8&amp;"-"&amp;INDEX(原始数据!$B$3:$H$26, MATCH(M$2, 原始数据!$A$3:$A$26, 0), MATCH($E21, 原始数据!$B$2:$H$2, 0))*0.95</f>
        <v>18-21.375</v>
      </c>
      <c r="N21" s="13" t="str">
        <f>INDEX(原始数据!$B$3:$H$26, MATCH(N$2, 原始数据!$A$3:$A$26, 0), MATCH($E21, 原始数据!$B$2:$H$2, 0))*0.8&amp;"-"&amp;INDEX(原始数据!$B$3:$H$26, MATCH(N$2, 原始数据!$A$3:$A$26, 0), MATCH($E21, 原始数据!$B$2:$H$2, 0))*0.95</f>
        <v>18-21.375</v>
      </c>
      <c r="O21" s="13"/>
      <c r="P21" s="13"/>
      <c r="Q21" s="13" t="str">
        <f>TEXT(INDEX(原始数据!$B$3:$H$26, MATCH(Q$2, 原始数据!$A$3:$A$26, 0), MATCH($E21, 原始数据!$B$2:$H$2, 0))*80,"0.00")&amp;"-"&amp;TEXT(INDEX(原始数据!$B$3:$H$26, MATCH(Q$2, 原始数据!$A$3:$A$26, 0), MATCH($E21, 原始数据!$B$2:$H$2, 0))*0.95,"0.00%")</f>
        <v>4.80-5.70%</v>
      </c>
      <c r="R21" s="13" t="str">
        <f>TEXT(INDEX(原始数据!$B$3:$H$26, MATCH(R$2, 原始数据!$A$3:$A$26, 0), MATCH($E21, 原始数据!$B$2:$H$2, 0))*80,"0.00")&amp;"-"&amp;TEXT(INDEX(原始数据!$B$3:$H$26, MATCH(R$2, 原始数据!$A$3:$A$26, 0), MATCH($E21, 原始数据!$B$2:$H$2, 0))*0.95,"0.00%")</f>
        <v>4.80-5.70%</v>
      </c>
      <c r="S21" s="13" t="str">
        <f>INDEX(原始数据!$B$3:$H$26, MATCH(S$2, 原始数据!$A$3:$A$26, 0), MATCH($E21, 原始数据!$B$2:$H$2, 0))*0.8&amp;"-"&amp;INDEX(原始数据!$B$3:$H$26, MATCH(S$2, 原始数据!$A$3:$A$26, 0), MATCH($E21, 原始数据!$B$2:$H$2, 0))*0.95</f>
        <v>12-14.25</v>
      </c>
      <c r="T21" s="13" t="str">
        <f>INDEX(原始数据!$B$3:$H$26, MATCH(T$2, 原始数据!$A$3:$A$26, 0), MATCH($E21, 原始数据!$B$2:$H$2, 0))*0.8&amp;"-"&amp;INDEX(原始数据!$B$3:$H$26, MATCH(T$2, 原始数据!$A$3:$A$26, 0), MATCH($E21, 原始数据!$B$2:$H$2, 0))*0.95</f>
        <v>12-14.25</v>
      </c>
      <c r="U21" s="13" t="str">
        <f>INDEX(原始数据!$B$3:$H$26, MATCH(U$2, 原始数据!$A$3:$A$26, 0), MATCH($E21, 原始数据!$B$2:$H$2, 0))*0.8&amp;"-"&amp;INDEX(原始数据!$B$3:$H$26, MATCH(U$2, 原始数据!$A$3:$A$26, 0), MATCH($E21, 原始数据!$B$2:$H$2, 0))*0.95</f>
        <v>2.4-2.85</v>
      </c>
      <c r="V21" s="13" t="str">
        <f>INDEX(原始数据!$B$3:$H$26, MATCH(V$2, 原始数据!$A$3:$A$26, 0), MATCH($E21, 原始数据!$B$2:$H$2, 0))*0.8&amp;"-"&amp;INDEX(原始数据!$B$3:$H$26, MATCH(V$2, 原始数据!$A$3:$A$26, 0), MATCH($E21, 原始数据!$B$2:$H$2, 0))*0.95</f>
        <v>9.6-11.4</v>
      </c>
      <c r="AA21" s="13"/>
      <c r="AB21" s="13" t="str">
        <f>TEXT(INDEX(原始数据!$B$3:$H$26, MATCH(AB$2, 原始数据!$A$3:$A$26, 0), MATCH($E21, 原始数据!$B$2:$H$2, 0))*80,"0.00")&amp;"-"&amp;TEXT(INDEX(原始数据!$B$3:$H$26, MATCH(AB$2, 原始数据!$A$3:$A$26, 0), MATCH($E21, 原始数据!$B$2:$H$2, 0))*0.95,"0.00%")</f>
        <v>3.60-4.28%</v>
      </c>
      <c r="AC21" s="13" t="str">
        <f>INDEX(原始数据!$B$3:$H$26, MATCH(AC$2, 原始数据!$A$3:$A$26, 0), MATCH($E21, 原始数据!$B$2:$H$2, 0))*0.8&amp;"-"&amp;INDEX(原始数据!$B$3:$H$26, MATCH(AC$2, 原始数据!$A$3:$A$26, 0), MATCH($E21, 原始数据!$B$2:$H$2, 0))*0.95</f>
        <v>180-213.75</v>
      </c>
      <c r="AD21" s="13"/>
      <c r="AF21" s="13"/>
      <c r="AH21" s="13"/>
      <c r="AJ21" s="13"/>
      <c r="AV21" s="1" t="s">
        <v>362</v>
      </c>
    </row>
    <row r="22" spans="2:48" x14ac:dyDescent="0.2">
      <c r="B22">
        <f>ID编号[id编号]*1000+ROW()-6</f>
        <v>108016</v>
      </c>
      <c r="C22" s="1" t="s">
        <v>31</v>
      </c>
      <c r="D22">
        <v>1</v>
      </c>
      <c r="E22">
        <v>3</v>
      </c>
      <c r="F22">
        <v>7</v>
      </c>
      <c r="G22">
        <v>0</v>
      </c>
      <c r="I22" s="6"/>
      <c r="M22" s="13"/>
      <c r="N22" s="13"/>
      <c r="O22" s="13"/>
      <c r="P22" s="13"/>
      <c r="S22" s="13"/>
      <c r="T22" s="13"/>
      <c r="W22" s="13" t="str">
        <f>TEXT(INDEX(原始数据!$B$3:$H$26, MATCH(W$2, 原始数据!$A$3:$A$26, 0), MATCH($E22, 原始数据!$B$2:$H$2, 0))*80,"0.00")&amp;"-"&amp;TEXT(INDEX(原始数据!$B$3:$H$26, MATCH(W$2, 原始数据!$A$3:$A$26, 0), MATCH($E22, 原始数据!$B$2:$H$2, 0))*0.95,"0.00%")</f>
        <v>2.40-2.85%</v>
      </c>
      <c r="X22" s="13" t="str">
        <f>TEXT(INDEX(原始数据!$B$3:$H$26, MATCH(X$2, 原始数据!$A$3:$A$26, 0), MATCH($E22, 原始数据!$B$2:$H$2, 0))*80,"0.00")&amp;"-"&amp;TEXT(INDEX(原始数据!$B$3:$H$26, MATCH(X$2, 原始数据!$A$3:$A$26, 0), MATCH($E22, 原始数据!$B$2:$H$2, 0))*0.95,"0.00%")</f>
        <v>2.40-2.85%</v>
      </c>
      <c r="Y22" s="13" t="str">
        <f>TEXT(INDEX(原始数据!$B$3:$H$26, MATCH(Y$2, 原始数据!$A$3:$A$26, 0), MATCH($E22, 原始数据!$B$2:$H$2, 0))*80,"0.00")&amp;"-"&amp;TEXT(INDEX(原始数据!$B$3:$H$26, MATCH(Y$2, 原始数据!$A$3:$A$26, 0), MATCH($E22, 原始数据!$B$2:$H$2, 0))*0.95,"0.00%")</f>
        <v>3.00-3.56%</v>
      </c>
      <c r="Z22" s="13" t="str">
        <f>TEXT(INDEX(原始数据!$B$3:$H$26, MATCH(Z$2, 原始数据!$A$3:$A$26, 0), MATCH($E22, 原始数据!$B$2:$H$2, 0))*80,"0.00")&amp;"-"&amp;TEXT(INDEX(原始数据!$B$3:$H$26, MATCH(Z$2, 原始数据!$A$3:$A$26, 0), MATCH($E22, 原始数据!$B$2:$H$2, 0))*0.95,"0.00%")</f>
        <v>12.00-14.25%</v>
      </c>
      <c r="AA22" s="13"/>
      <c r="AC22" s="13"/>
      <c r="AD22" s="13" t="str">
        <f>INDEX(原始数据!$B$3:$H$26, MATCH(AD$2, 原始数据!$A$3:$A$26, 0), MATCH($E22, 原始数据!$B$2:$H$2, 0))*0.8&amp;"-"&amp;INDEX(原始数据!$B$3:$H$26, MATCH(AD$2, 原始数据!$A$3:$A$26, 0), MATCH($E22, 原始数据!$B$2:$H$2, 0))*0.95</f>
        <v>36-42.75</v>
      </c>
      <c r="AE22" s="13" t="str">
        <f>TEXT(INDEX(原始数据!$B$3:$H$26, MATCH(AE$2, 原始数据!$A$3:$A$26, 0), MATCH($E22, 原始数据!$B$2:$H$2, 0))*80,"0.00")&amp;"-"&amp;TEXT(INDEX(原始数据!$B$3:$H$26, MATCH(AE$2, 原始数据!$A$3:$A$26, 0), MATCH($E22, 原始数据!$B$2:$H$2, 0))*0.95,"0.00%")</f>
        <v>30.00-35.63%</v>
      </c>
      <c r="AF22" s="13" t="str">
        <f>INDEX(原始数据!$B$3:$H$26, MATCH(AF$2, 原始数据!$A$3:$A$26, 0), MATCH($E22, 原始数据!$B$2:$H$2, 0))*0.8&amp;"-"&amp;INDEX(原始数据!$B$3:$H$26, MATCH(AF$2, 原始数据!$A$3:$A$26, 0), MATCH($E22, 原始数据!$B$2:$H$2, 0))*0.95</f>
        <v>1.8-2.1375</v>
      </c>
      <c r="AG22" s="13" t="str">
        <f>TEXT(INDEX(原始数据!$B$3:$H$26, MATCH(AG$2, 原始数据!$A$3:$A$26, 0), MATCH($E22, 原始数据!$B$2:$H$2, 0))*80,"0.00")&amp;"-"&amp;TEXT(INDEX(原始数据!$B$3:$H$26, MATCH(AG$2, 原始数据!$A$3:$A$26, 0), MATCH($E22, 原始数据!$B$2:$H$2, 0))*0.95,"0.00%")</f>
        <v>36.00-42.75%</v>
      </c>
      <c r="AH22" s="13" t="str">
        <f>INDEX(原始数据!$B$3:$H$26, MATCH(AH$2, 原始数据!$A$3:$A$26, 0), MATCH($E22, 原始数据!$B$2:$H$2, 0))*0.8&amp;"-"&amp;INDEX(原始数据!$B$3:$H$26, MATCH(AH$2, 原始数据!$A$3:$A$26, 0), MATCH($E22, 原始数据!$B$2:$H$2, 0))*0.95</f>
        <v>36-42.75</v>
      </c>
      <c r="AI22" s="13" t="str">
        <f>TEXT(INDEX(原始数据!$B$3:$H$26, MATCH(AI$2, 原始数据!$A$3:$A$26, 0), MATCH($E22, 原始数据!$B$2:$H$2, 0))*80,"0.00")&amp;"-"&amp;TEXT(INDEX(原始数据!$B$3:$H$26, MATCH(AI$2, 原始数据!$A$3:$A$26, 0), MATCH($E22, 原始数据!$B$2:$H$2, 0))*0.95,"0.00%")</f>
        <v>30.00-35.63%</v>
      </c>
      <c r="AJ22" s="13" t="str">
        <f>INDEX(原始数据!$B$3:$H$26, MATCH(AJ$2, 原始数据!$A$3:$A$26, 0), MATCH($E22, 原始数据!$B$2:$H$2, 0))*0.8&amp;"-"&amp;INDEX(原始数据!$B$3:$H$26, MATCH(AJ$2, 原始数据!$A$3:$A$26, 0), MATCH($E22, 原始数据!$B$2:$H$2, 0))*0.95</f>
        <v>1.8-2.1375</v>
      </c>
      <c r="AK22" s="13" t="str">
        <f>TEXT(INDEX(原始数据!$B$3:$H$26, MATCH(AK$2, 原始数据!$A$3:$A$26, 0), MATCH($E22, 原始数据!$B$2:$H$2, 0))*80,"0.00")&amp;"-"&amp;TEXT(INDEX(原始数据!$B$3:$H$26, MATCH(AK$2, 原始数据!$A$3:$A$26, 0), MATCH($E22, 原始数据!$B$2:$H$2, 0))*0.95,"0.00%")</f>
        <v>36.00-42.75%</v>
      </c>
      <c r="AV22" s="1" t="s">
        <v>363</v>
      </c>
    </row>
    <row r="23" spans="2:48" x14ac:dyDescent="0.2">
      <c r="B23">
        <f>ID编号[id编号]*1000+ROW()-6</f>
        <v>108017</v>
      </c>
      <c r="C23" s="1" t="s">
        <v>39</v>
      </c>
      <c r="D23">
        <v>1</v>
      </c>
      <c r="E23">
        <v>4</v>
      </c>
      <c r="F23">
        <v>6</v>
      </c>
      <c r="G23">
        <v>0</v>
      </c>
      <c r="I23" s="6"/>
      <c r="K23" s="13" t="str">
        <f>TEXT(INDEX(原始数据!$B$3:$H$26, MATCH(K$2, 原始数据!$A$3:$A$26, 0), MATCH($E23, 原始数据!$B$2:$H$2, 0))*80,"0.00")&amp;"-"&amp;TEXT(INDEX(原始数据!$B$3:$H$26, MATCH(K$2, 原始数据!$A$3:$A$26, 0), MATCH($E23, 原始数据!$B$2:$H$2, 0))*0.95,"0.00%")</f>
        <v>6.40-7.60%</v>
      </c>
      <c r="L23" s="13" t="str">
        <f>TEXT(INDEX(原始数据!$B$3:$H$26, MATCH(L$2, 原始数据!$A$3:$A$26, 0), MATCH($E23, 原始数据!$B$2:$H$2, 0))*80,"0.00")&amp;"-"&amp;TEXT(INDEX(原始数据!$B$3:$H$26, MATCH(L$2, 原始数据!$A$3:$A$26, 0), MATCH($E23, 原始数据!$B$2:$H$2, 0))*0.95,"0.00%")</f>
        <v>6.40-7.60%</v>
      </c>
      <c r="M23" s="13" t="str">
        <f>INDEX(原始数据!$B$3:$H$26, MATCH(M$2, 原始数据!$A$3:$A$26, 0), MATCH($E23, 原始数据!$B$2:$H$2, 0))*0.8&amp;"-"&amp;INDEX(原始数据!$B$3:$H$26, MATCH(M$2, 原始数据!$A$3:$A$26, 0), MATCH($E23, 原始数据!$B$2:$H$2, 0))*0.95</f>
        <v>24-28.5</v>
      </c>
      <c r="N23" s="13" t="str">
        <f>INDEX(原始数据!$B$3:$H$26, MATCH(N$2, 原始数据!$A$3:$A$26, 0), MATCH($E23, 原始数据!$B$2:$H$2, 0))*0.8&amp;"-"&amp;INDEX(原始数据!$B$3:$H$26, MATCH(N$2, 原始数据!$A$3:$A$26, 0), MATCH($E23, 原始数据!$B$2:$H$2, 0))*0.95</f>
        <v>24-28.5</v>
      </c>
      <c r="O23" s="13"/>
      <c r="P23" s="13"/>
      <c r="Q23" s="13" t="str">
        <f>TEXT(INDEX(原始数据!$B$3:$H$26, MATCH(Q$2, 原始数据!$A$3:$A$26, 0), MATCH($E23, 原始数据!$B$2:$H$2, 0))*80,"0.00")&amp;"-"&amp;TEXT(INDEX(原始数据!$B$3:$H$26, MATCH(Q$2, 原始数据!$A$3:$A$26, 0), MATCH($E23, 原始数据!$B$2:$H$2, 0))*0.95,"0.00%")</f>
        <v>6.40-7.60%</v>
      </c>
      <c r="R23" s="13" t="str">
        <f>TEXT(INDEX(原始数据!$B$3:$H$26, MATCH(R$2, 原始数据!$A$3:$A$26, 0), MATCH($E23, 原始数据!$B$2:$H$2, 0))*80,"0.00")&amp;"-"&amp;TEXT(INDEX(原始数据!$B$3:$H$26, MATCH(R$2, 原始数据!$A$3:$A$26, 0), MATCH($E23, 原始数据!$B$2:$H$2, 0))*0.95,"0.00%")</f>
        <v>6.40-7.60%</v>
      </c>
      <c r="S23" s="13" t="str">
        <f>INDEX(原始数据!$B$3:$H$26, MATCH(S$2, 原始数据!$A$3:$A$26, 0), MATCH($E23, 原始数据!$B$2:$H$2, 0))*0.8&amp;"-"&amp;INDEX(原始数据!$B$3:$H$26, MATCH(S$2, 原始数据!$A$3:$A$26, 0), MATCH($E23, 原始数据!$B$2:$H$2, 0))*0.95</f>
        <v>16-19</v>
      </c>
      <c r="T23" s="13" t="str">
        <f>INDEX(原始数据!$B$3:$H$26, MATCH(T$2, 原始数据!$A$3:$A$26, 0), MATCH($E23, 原始数据!$B$2:$H$2, 0))*0.8&amp;"-"&amp;INDEX(原始数据!$B$3:$H$26, MATCH(T$2, 原始数据!$A$3:$A$26, 0), MATCH($E23, 原始数据!$B$2:$H$2, 0))*0.95</f>
        <v>16-19</v>
      </c>
      <c r="U23" s="13" t="str">
        <f>INDEX(原始数据!$B$3:$H$26, MATCH(U$2, 原始数据!$A$3:$A$26, 0), MATCH($E23, 原始数据!$B$2:$H$2, 0))*0.8&amp;"-"&amp;INDEX(原始数据!$B$3:$H$26, MATCH(U$2, 原始数据!$A$3:$A$26, 0), MATCH($E23, 原始数据!$B$2:$H$2, 0))*0.95</f>
        <v>3.2-3.8</v>
      </c>
      <c r="V23" s="13" t="str">
        <f>INDEX(原始数据!$B$3:$H$26, MATCH(V$2, 原始数据!$A$3:$A$26, 0), MATCH($E23, 原始数据!$B$2:$H$2, 0))*0.8&amp;"-"&amp;INDEX(原始数据!$B$3:$H$26, MATCH(V$2, 原始数据!$A$3:$A$26, 0), MATCH($E23, 原始数据!$B$2:$H$2, 0))*0.95</f>
        <v>12.8-15.2</v>
      </c>
      <c r="AA23" s="13"/>
      <c r="AB23" s="13" t="str">
        <f>TEXT(INDEX(原始数据!$B$3:$H$26, MATCH(AB$2, 原始数据!$A$3:$A$26, 0), MATCH($E23, 原始数据!$B$2:$H$2, 0))*80,"0.00")&amp;"-"&amp;TEXT(INDEX(原始数据!$B$3:$H$26, MATCH(AB$2, 原始数据!$A$3:$A$26, 0), MATCH($E23, 原始数据!$B$2:$H$2, 0))*0.95,"0.00%")</f>
        <v>4.80-5.70%</v>
      </c>
      <c r="AC23" s="13" t="str">
        <f>INDEX(原始数据!$B$3:$H$26, MATCH(AC$2, 原始数据!$A$3:$A$26, 0), MATCH($E23, 原始数据!$B$2:$H$2, 0))*0.8&amp;"-"&amp;INDEX(原始数据!$B$3:$H$26, MATCH(AC$2, 原始数据!$A$3:$A$26, 0), MATCH($E23, 原始数据!$B$2:$H$2, 0))*0.95</f>
        <v>240-285</v>
      </c>
      <c r="AD23" s="13"/>
      <c r="AF23" s="13"/>
      <c r="AH23" s="13"/>
      <c r="AJ23" s="13"/>
      <c r="AV23" s="1" t="s">
        <v>364</v>
      </c>
    </row>
    <row r="24" spans="2:48" x14ac:dyDescent="0.2">
      <c r="B24">
        <f>ID编号[id编号]*1000+ROW()-6</f>
        <v>108018</v>
      </c>
      <c r="C24" s="1" t="s">
        <v>32</v>
      </c>
      <c r="D24">
        <v>1</v>
      </c>
      <c r="E24">
        <v>4</v>
      </c>
      <c r="F24">
        <v>7</v>
      </c>
      <c r="G24">
        <v>0</v>
      </c>
      <c r="I24" s="6"/>
      <c r="M24" s="13"/>
      <c r="N24" s="13"/>
      <c r="O24" s="13"/>
      <c r="P24" s="13"/>
      <c r="S24" s="13"/>
      <c r="T24" s="13"/>
      <c r="W24" s="13" t="str">
        <f>TEXT(INDEX(原始数据!$B$3:$H$26, MATCH(W$2, 原始数据!$A$3:$A$26, 0), MATCH($E24, 原始数据!$B$2:$H$2, 0))*80,"0.00")&amp;"-"&amp;TEXT(INDEX(原始数据!$B$3:$H$26, MATCH(W$2, 原始数据!$A$3:$A$26, 0), MATCH($E24, 原始数据!$B$2:$H$2, 0))*0.95,"0.00%")</f>
        <v>3.20-3.80%</v>
      </c>
      <c r="X24" s="13" t="str">
        <f>TEXT(INDEX(原始数据!$B$3:$H$26, MATCH(X$2, 原始数据!$A$3:$A$26, 0), MATCH($E24, 原始数据!$B$2:$H$2, 0))*80,"0.00")&amp;"-"&amp;TEXT(INDEX(原始数据!$B$3:$H$26, MATCH(X$2, 原始数据!$A$3:$A$26, 0), MATCH($E24, 原始数据!$B$2:$H$2, 0))*0.95,"0.00%")</f>
        <v>3.20-3.80%</v>
      </c>
      <c r="Y24" s="13" t="str">
        <f>TEXT(INDEX(原始数据!$B$3:$H$26, MATCH(Y$2, 原始数据!$A$3:$A$26, 0), MATCH($E24, 原始数据!$B$2:$H$2, 0))*80,"0.00")&amp;"-"&amp;TEXT(INDEX(原始数据!$B$3:$H$26, MATCH(Y$2, 原始数据!$A$3:$A$26, 0), MATCH($E24, 原始数据!$B$2:$H$2, 0))*0.95,"0.00%")</f>
        <v>4.00-4.75%</v>
      </c>
      <c r="Z24" s="13" t="str">
        <f>TEXT(INDEX(原始数据!$B$3:$H$26, MATCH(Z$2, 原始数据!$A$3:$A$26, 0), MATCH($E24, 原始数据!$B$2:$H$2, 0))*80,"0.00")&amp;"-"&amp;TEXT(INDEX(原始数据!$B$3:$H$26, MATCH(Z$2, 原始数据!$A$3:$A$26, 0), MATCH($E24, 原始数据!$B$2:$H$2, 0))*0.95,"0.00%")</f>
        <v>16.00-19.00%</v>
      </c>
      <c r="AA24" s="13"/>
      <c r="AC24" s="13"/>
      <c r="AD24" s="13" t="str">
        <f>INDEX(原始数据!$B$3:$H$26, MATCH(AD$2, 原始数据!$A$3:$A$26, 0), MATCH($E24, 原始数据!$B$2:$H$2, 0))*0.8&amp;"-"&amp;INDEX(原始数据!$B$3:$H$26, MATCH(AD$2, 原始数据!$A$3:$A$26, 0), MATCH($E24, 原始数据!$B$2:$H$2, 0))*0.95</f>
        <v>48-57</v>
      </c>
      <c r="AE24" s="13" t="str">
        <f>TEXT(INDEX(原始数据!$B$3:$H$26, MATCH(AE$2, 原始数据!$A$3:$A$26, 0), MATCH($E24, 原始数据!$B$2:$H$2, 0))*80,"0.00")&amp;"-"&amp;TEXT(INDEX(原始数据!$B$3:$H$26, MATCH(AE$2, 原始数据!$A$3:$A$26, 0), MATCH($E24, 原始数据!$B$2:$H$2, 0))*0.95,"0.00%")</f>
        <v>40.00-47.50%</v>
      </c>
      <c r="AF24" s="13" t="str">
        <f>INDEX(原始数据!$B$3:$H$26, MATCH(AF$2, 原始数据!$A$3:$A$26, 0), MATCH($E24, 原始数据!$B$2:$H$2, 0))*0.8&amp;"-"&amp;INDEX(原始数据!$B$3:$H$26, MATCH(AF$2, 原始数据!$A$3:$A$26, 0), MATCH($E24, 原始数据!$B$2:$H$2, 0))*0.95</f>
        <v>2.4-2.85</v>
      </c>
      <c r="AG24" s="13" t="str">
        <f>TEXT(INDEX(原始数据!$B$3:$H$26, MATCH(AG$2, 原始数据!$A$3:$A$26, 0), MATCH($E24, 原始数据!$B$2:$H$2, 0))*80,"0.00")&amp;"-"&amp;TEXT(INDEX(原始数据!$B$3:$H$26, MATCH(AG$2, 原始数据!$A$3:$A$26, 0), MATCH($E24, 原始数据!$B$2:$H$2, 0))*0.95,"0.00%")</f>
        <v>48.00-57.00%</v>
      </c>
      <c r="AH24" s="13" t="str">
        <f>INDEX(原始数据!$B$3:$H$26, MATCH(AH$2, 原始数据!$A$3:$A$26, 0), MATCH($E24, 原始数据!$B$2:$H$2, 0))*0.8&amp;"-"&amp;INDEX(原始数据!$B$3:$H$26, MATCH(AH$2, 原始数据!$A$3:$A$26, 0), MATCH($E24, 原始数据!$B$2:$H$2, 0))*0.95</f>
        <v>48-57</v>
      </c>
      <c r="AI24" s="13" t="str">
        <f>TEXT(INDEX(原始数据!$B$3:$H$26, MATCH(AI$2, 原始数据!$A$3:$A$26, 0), MATCH($E24, 原始数据!$B$2:$H$2, 0))*80,"0.00")&amp;"-"&amp;TEXT(INDEX(原始数据!$B$3:$H$26, MATCH(AI$2, 原始数据!$A$3:$A$26, 0), MATCH($E24, 原始数据!$B$2:$H$2, 0))*0.95,"0.00%")</f>
        <v>40.00-47.50%</v>
      </c>
      <c r="AJ24" s="13" t="str">
        <f>INDEX(原始数据!$B$3:$H$26, MATCH(AJ$2, 原始数据!$A$3:$A$26, 0), MATCH($E24, 原始数据!$B$2:$H$2, 0))*0.8&amp;"-"&amp;INDEX(原始数据!$B$3:$H$26, MATCH(AJ$2, 原始数据!$A$3:$A$26, 0), MATCH($E24, 原始数据!$B$2:$H$2, 0))*0.95</f>
        <v>2.4-2.85</v>
      </c>
      <c r="AK24" s="13" t="str">
        <f>TEXT(INDEX(原始数据!$B$3:$H$26, MATCH(AK$2, 原始数据!$A$3:$A$26, 0), MATCH($E24, 原始数据!$B$2:$H$2, 0))*80,"0.00")&amp;"-"&amp;TEXT(INDEX(原始数据!$B$3:$H$26, MATCH(AK$2, 原始数据!$A$3:$A$26, 0), MATCH($E24, 原始数据!$B$2:$H$2, 0))*0.95,"0.00%")</f>
        <v>48.00-57.00%</v>
      </c>
      <c r="AV24" s="1" t="s">
        <v>365</v>
      </c>
    </row>
    <row r="25" spans="2:48" x14ac:dyDescent="0.2">
      <c r="B25">
        <f>ID编号[id编号]*1000+ROW()-6</f>
        <v>108019</v>
      </c>
      <c r="C25" s="1" t="s">
        <v>40</v>
      </c>
      <c r="D25">
        <v>1</v>
      </c>
      <c r="E25">
        <v>5</v>
      </c>
      <c r="F25">
        <v>6</v>
      </c>
      <c r="G25">
        <v>0</v>
      </c>
      <c r="I25" s="6"/>
      <c r="K25" s="13" t="str">
        <f>TEXT(INDEX(原始数据!$B$3:$H$26, MATCH(K$2, 原始数据!$A$3:$A$26, 0), MATCH($E25, 原始数据!$B$2:$H$2, 0))*80,"0.00")&amp;"-"&amp;TEXT(INDEX(原始数据!$B$3:$H$26, MATCH(K$2, 原始数据!$A$3:$A$26, 0), MATCH($E25, 原始数据!$B$2:$H$2, 0))*0.95,"0.00%")</f>
        <v>8.00-9.50%</v>
      </c>
      <c r="L25" s="13" t="str">
        <f>TEXT(INDEX(原始数据!$B$3:$H$26, MATCH(L$2, 原始数据!$A$3:$A$26, 0), MATCH($E25, 原始数据!$B$2:$H$2, 0))*80,"0.00")&amp;"-"&amp;TEXT(INDEX(原始数据!$B$3:$H$26, MATCH(L$2, 原始数据!$A$3:$A$26, 0), MATCH($E25, 原始数据!$B$2:$H$2, 0))*0.95,"0.00%")</f>
        <v>8.00-9.50%</v>
      </c>
      <c r="M25" s="13" t="str">
        <f>INDEX(原始数据!$B$3:$H$26, MATCH(M$2, 原始数据!$A$3:$A$26, 0), MATCH($E25, 原始数据!$B$2:$H$2, 0))*0.8&amp;"-"&amp;INDEX(原始数据!$B$3:$H$26, MATCH(M$2, 原始数据!$A$3:$A$26, 0), MATCH($E25, 原始数据!$B$2:$H$2, 0))*0.95</f>
        <v>30-35.625</v>
      </c>
      <c r="N25" s="13" t="str">
        <f>INDEX(原始数据!$B$3:$H$26, MATCH(N$2, 原始数据!$A$3:$A$26, 0), MATCH($E25, 原始数据!$B$2:$H$2, 0))*0.8&amp;"-"&amp;INDEX(原始数据!$B$3:$H$26, MATCH(N$2, 原始数据!$A$3:$A$26, 0), MATCH($E25, 原始数据!$B$2:$H$2, 0))*0.95</f>
        <v>30-35.625</v>
      </c>
      <c r="O25" s="13"/>
      <c r="P25" s="13"/>
      <c r="Q25" s="13" t="str">
        <f>TEXT(INDEX(原始数据!$B$3:$H$26, MATCH(Q$2, 原始数据!$A$3:$A$26, 0), MATCH($E25, 原始数据!$B$2:$H$2, 0))*80,"0.00")&amp;"-"&amp;TEXT(INDEX(原始数据!$B$3:$H$26, MATCH(Q$2, 原始数据!$A$3:$A$26, 0), MATCH($E25, 原始数据!$B$2:$H$2, 0))*0.95,"0.00%")</f>
        <v>8.00-9.50%</v>
      </c>
      <c r="R25" s="13" t="str">
        <f>TEXT(INDEX(原始数据!$B$3:$H$26, MATCH(R$2, 原始数据!$A$3:$A$26, 0), MATCH($E25, 原始数据!$B$2:$H$2, 0))*80,"0.00")&amp;"-"&amp;TEXT(INDEX(原始数据!$B$3:$H$26, MATCH(R$2, 原始数据!$A$3:$A$26, 0), MATCH($E25, 原始数据!$B$2:$H$2, 0))*0.95,"0.00%")</f>
        <v>8.00-9.50%</v>
      </c>
      <c r="S25" s="13" t="str">
        <f>INDEX(原始数据!$B$3:$H$26, MATCH(S$2, 原始数据!$A$3:$A$26, 0), MATCH($E25, 原始数据!$B$2:$H$2, 0))*0.8&amp;"-"&amp;INDEX(原始数据!$B$3:$H$26, MATCH(S$2, 原始数据!$A$3:$A$26, 0), MATCH($E25, 原始数据!$B$2:$H$2, 0))*0.95</f>
        <v>20-23.75</v>
      </c>
      <c r="T25" s="13" t="str">
        <f>INDEX(原始数据!$B$3:$H$26, MATCH(T$2, 原始数据!$A$3:$A$26, 0), MATCH($E25, 原始数据!$B$2:$H$2, 0))*0.8&amp;"-"&amp;INDEX(原始数据!$B$3:$H$26, MATCH(T$2, 原始数据!$A$3:$A$26, 0), MATCH($E25, 原始数据!$B$2:$H$2, 0))*0.95</f>
        <v>20-23.75</v>
      </c>
      <c r="U25" s="13" t="str">
        <f>INDEX(原始数据!$B$3:$H$26, MATCH(U$2, 原始数据!$A$3:$A$26, 0), MATCH($E25, 原始数据!$B$2:$H$2, 0))*0.8&amp;"-"&amp;INDEX(原始数据!$B$3:$H$26, MATCH(U$2, 原始数据!$A$3:$A$26, 0), MATCH($E25, 原始数据!$B$2:$H$2, 0))*0.95</f>
        <v>4-4.75</v>
      </c>
      <c r="V25" s="13" t="str">
        <f>INDEX(原始数据!$B$3:$H$26, MATCH(V$2, 原始数据!$A$3:$A$26, 0), MATCH($E25, 原始数据!$B$2:$H$2, 0))*0.8&amp;"-"&amp;INDEX(原始数据!$B$3:$H$26, MATCH(V$2, 原始数据!$A$3:$A$26, 0), MATCH($E25, 原始数据!$B$2:$H$2, 0))*0.95</f>
        <v>16-19</v>
      </c>
      <c r="AA25" s="13"/>
      <c r="AB25" s="13" t="str">
        <f>TEXT(INDEX(原始数据!$B$3:$H$26, MATCH(AB$2, 原始数据!$A$3:$A$26, 0), MATCH($E25, 原始数据!$B$2:$H$2, 0))*80,"0.00")&amp;"-"&amp;TEXT(INDEX(原始数据!$B$3:$H$26, MATCH(AB$2, 原始数据!$A$3:$A$26, 0), MATCH($E25, 原始数据!$B$2:$H$2, 0))*0.95,"0.00%")</f>
        <v>6.00-7.13%</v>
      </c>
      <c r="AC25" s="13" t="str">
        <f>INDEX(原始数据!$B$3:$H$26, MATCH(AC$2, 原始数据!$A$3:$A$26, 0), MATCH($E25, 原始数据!$B$2:$H$2, 0))*0.8&amp;"-"&amp;INDEX(原始数据!$B$3:$H$26, MATCH(AC$2, 原始数据!$A$3:$A$26, 0), MATCH($E25, 原始数据!$B$2:$H$2, 0))*0.95</f>
        <v>300-356.25</v>
      </c>
      <c r="AD25" s="13"/>
      <c r="AF25" s="13"/>
      <c r="AH25" s="13"/>
      <c r="AJ25" s="13"/>
      <c r="AV25" s="1" t="s">
        <v>366</v>
      </c>
    </row>
    <row r="26" spans="2:48" x14ac:dyDescent="0.2">
      <c r="B26">
        <f>ID编号[id编号]*1000+ROW()-6</f>
        <v>108020</v>
      </c>
      <c r="C26" s="1" t="s">
        <v>33</v>
      </c>
      <c r="D26">
        <v>1</v>
      </c>
      <c r="E26">
        <v>5</v>
      </c>
      <c r="F26">
        <v>7</v>
      </c>
      <c r="G26">
        <v>0</v>
      </c>
      <c r="I26" s="6"/>
      <c r="M26" s="13"/>
      <c r="N26" s="13"/>
      <c r="O26" s="13"/>
      <c r="P26" s="13"/>
      <c r="S26" s="13"/>
      <c r="T26" s="13"/>
      <c r="W26" s="13" t="str">
        <f>TEXT(INDEX(原始数据!$B$3:$H$26, MATCH(W$2, 原始数据!$A$3:$A$26, 0), MATCH($E26, 原始数据!$B$2:$H$2, 0))*80,"0.00")&amp;"-"&amp;TEXT(INDEX(原始数据!$B$3:$H$26, MATCH(W$2, 原始数据!$A$3:$A$26, 0), MATCH($E26, 原始数据!$B$2:$H$2, 0))*0.95,"0.00%")</f>
        <v>4.00-4.75%</v>
      </c>
      <c r="X26" s="13" t="str">
        <f>TEXT(INDEX(原始数据!$B$3:$H$26, MATCH(X$2, 原始数据!$A$3:$A$26, 0), MATCH($E26, 原始数据!$B$2:$H$2, 0))*80,"0.00")&amp;"-"&amp;TEXT(INDEX(原始数据!$B$3:$H$26, MATCH(X$2, 原始数据!$A$3:$A$26, 0), MATCH($E26, 原始数据!$B$2:$H$2, 0))*0.95,"0.00%")</f>
        <v>4.00-4.75%</v>
      </c>
      <c r="Y26" s="13" t="str">
        <f>TEXT(INDEX(原始数据!$B$3:$H$26, MATCH(Y$2, 原始数据!$A$3:$A$26, 0), MATCH($E26, 原始数据!$B$2:$H$2, 0))*80,"0.00")&amp;"-"&amp;TEXT(INDEX(原始数据!$B$3:$H$26, MATCH(Y$2, 原始数据!$A$3:$A$26, 0), MATCH($E26, 原始数据!$B$2:$H$2, 0))*0.95,"0.00%")</f>
        <v>5.00-5.94%</v>
      </c>
      <c r="Z26" s="13" t="str">
        <f>TEXT(INDEX(原始数据!$B$3:$H$26, MATCH(Z$2, 原始数据!$A$3:$A$26, 0), MATCH($E26, 原始数据!$B$2:$H$2, 0))*80,"0.00")&amp;"-"&amp;TEXT(INDEX(原始数据!$B$3:$H$26, MATCH(Z$2, 原始数据!$A$3:$A$26, 0), MATCH($E26, 原始数据!$B$2:$H$2, 0))*0.95,"0.00%")</f>
        <v>20.00-23.75%</v>
      </c>
      <c r="AA26" s="13"/>
      <c r="AC26" s="13"/>
      <c r="AD26" s="13" t="str">
        <f>INDEX(原始数据!$B$3:$H$26, MATCH(AD$2, 原始数据!$A$3:$A$26, 0), MATCH($E26, 原始数据!$B$2:$H$2, 0))*0.8&amp;"-"&amp;INDEX(原始数据!$B$3:$H$26, MATCH(AD$2, 原始数据!$A$3:$A$26, 0), MATCH($E26, 原始数据!$B$2:$H$2, 0))*0.95</f>
        <v>60-71.25</v>
      </c>
      <c r="AE26" s="13" t="str">
        <f>TEXT(INDEX(原始数据!$B$3:$H$26, MATCH(AE$2, 原始数据!$A$3:$A$26, 0), MATCH($E26, 原始数据!$B$2:$H$2, 0))*80,"0.00")&amp;"-"&amp;TEXT(INDEX(原始数据!$B$3:$H$26, MATCH(AE$2, 原始数据!$A$3:$A$26, 0), MATCH($E26, 原始数据!$B$2:$H$2, 0))*0.95,"0.00%")</f>
        <v>50.00-59.38%</v>
      </c>
      <c r="AF26" s="13" t="str">
        <f>INDEX(原始数据!$B$3:$H$26, MATCH(AF$2, 原始数据!$A$3:$A$26, 0), MATCH($E26, 原始数据!$B$2:$H$2, 0))*0.8&amp;"-"&amp;INDEX(原始数据!$B$3:$H$26, MATCH(AF$2, 原始数据!$A$3:$A$26, 0), MATCH($E26, 原始数据!$B$2:$H$2, 0))*0.95</f>
        <v>3-3.5625</v>
      </c>
      <c r="AG26" s="13" t="str">
        <f>TEXT(INDEX(原始数据!$B$3:$H$26, MATCH(AG$2, 原始数据!$A$3:$A$26, 0), MATCH($E26, 原始数据!$B$2:$H$2, 0))*80,"0.00")&amp;"-"&amp;TEXT(INDEX(原始数据!$B$3:$H$26, MATCH(AG$2, 原始数据!$A$3:$A$26, 0), MATCH($E26, 原始数据!$B$2:$H$2, 0))*0.95,"0.00%")</f>
        <v>60.00-71.25%</v>
      </c>
      <c r="AH26" s="13" t="str">
        <f>INDEX(原始数据!$B$3:$H$26, MATCH(AH$2, 原始数据!$A$3:$A$26, 0), MATCH($E26, 原始数据!$B$2:$H$2, 0))*0.8&amp;"-"&amp;INDEX(原始数据!$B$3:$H$26, MATCH(AH$2, 原始数据!$A$3:$A$26, 0), MATCH($E26, 原始数据!$B$2:$H$2, 0))*0.95</f>
        <v>60-71.25</v>
      </c>
      <c r="AI26" s="13" t="str">
        <f>TEXT(INDEX(原始数据!$B$3:$H$26, MATCH(AI$2, 原始数据!$A$3:$A$26, 0), MATCH($E26, 原始数据!$B$2:$H$2, 0))*80,"0.00")&amp;"-"&amp;TEXT(INDEX(原始数据!$B$3:$H$26, MATCH(AI$2, 原始数据!$A$3:$A$26, 0), MATCH($E26, 原始数据!$B$2:$H$2, 0))*0.95,"0.00%")</f>
        <v>50.00-59.38%</v>
      </c>
      <c r="AJ26" s="13" t="str">
        <f>INDEX(原始数据!$B$3:$H$26, MATCH(AJ$2, 原始数据!$A$3:$A$26, 0), MATCH($E26, 原始数据!$B$2:$H$2, 0))*0.8&amp;"-"&amp;INDEX(原始数据!$B$3:$H$26, MATCH(AJ$2, 原始数据!$A$3:$A$26, 0), MATCH($E26, 原始数据!$B$2:$H$2, 0))*0.95</f>
        <v>3-3.5625</v>
      </c>
      <c r="AK26" s="13" t="str">
        <f>TEXT(INDEX(原始数据!$B$3:$H$26, MATCH(AK$2, 原始数据!$A$3:$A$26, 0), MATCH($E26, 原始数据!$B$2:$H$2, 0))*80,"0.00")&amp;"-"&amp;TEXT(INDEX(原始数据!$B$3:$H$26, MATCH(AK$2, 原始数据!$A$3:$A$26, 0), MATCH($E26, 原始数据!$B$2:$H$2, 0))*0.95,"0.00%")</f>
        <v>60.00-71.25%</v>
      </c>
      <c r="AV26" s="1" t="s">
        <v>367</v>
      </c>
    </row>
    <row r="27" spans="2:48" x14ac:dyDescent="0.2">
      <c r="B27">
        <f>ID编号[id编号]*1000+ROW()-6</f>
        <v>108021</v>
      </c>
      <c r="C27" s="7" t="s">
        <v>111</v>
      </c>
      <c r="D27">
        <v>1</v>
      </c>
      <c r="E27">
        <v>6</v>
      </c>
      <c r="F27">
        <v>6</v>
      </c>
      <c r="G27">
        <v>0</v>
      </c>
      <c r="I27" s="6"/>
      <c r="K27" s="13" t="str">
        <f>TEXT(INDEX(原始数据!$B$3:$H$26, MATCH(K$2, 原始数据!$A$3:$A$26, 0), MATCH($E27, 原始数据!$B$2:$H$2, 0))*80,"0.00")&amp;"-"&amp;TEXT(INDEX(原始数据!$B$3:$H$26, MATCH(K$2, 原始数据!$A$3:$A$26, 0), MATCH($E27, 原始数据!$B$2:$H$2, 0))*0.95,"0.00%")</f>
        <v>9.60-11.40%</v>
      </c>
      <c r="L27" s="13" t="str">
        <f>TEXT(INDEX(原始数据!$B$3:$H$26, MATCH(L$2, 原始数据!$A$3:$A$26, 0), MATCH($E27, 原始数据!$B$2:$H$2, 0))*80,"0.00")&amp;"-"&amp;TEXT(INDEX(原始数据!$B$3:$H$26, MATCH(L$2, 原始数据!$A$3:$A$26, 0), MATCH($E27, 原始数据!$B$2:$H$2, 0))*0.95,"0.00%")</f>
        <v>9.60-11.40%</v>
      </c>
      <c r="M27" s="13" t="str">
        <f>INDEX(原始数据!$B$3:$H$26, MATCH(M$2, 原始数据!$A$3:$A$26, 0), MATCH($E27, 原始数据!$B$2:$H$2, 0))*0.8&amp;"-"&amp;INDEX(原始数据!$B$3:$H$26, MATCH(M$2, 原始数据!$A$3:$A$26, 0), MATCH($E27, 原始数据!$B$2:$H$2, 0))*0.95</f>
        <v>36-42.75</v>
      </c>
      <c r="N27" s="13" t="str">
        <f>INDEX(原始数据!$B$3:$H$26, MATCH(N$2, 原始数据!$A$3:$A$26, 0), MATCH($E27, 原始数据!$B$2:$H$2, 0))*0.8&amp;"-"&amp;INDEX(原始数据!$B$3:$H$26, MATCH(N$2, 原始数据!$A$3:$A$26, 0), MATCH($E27, 原始数据!$B$2:$H$2, 0))*0.95</f>
        <v>36-42.75</v>
      </c>
      <c r="O27" s="13"/>
      <c r="P27" s="13"/>
      <c r="Q27" s="13" t="str">
        <f>TEXT(INDEX(原始数据!$B$3:$H$26, MATCH(Q$2, 原始数据!$A$3:$A$26, 0), MATCH($E27, 原始数据!$B$2:$H$2, 0))*80,"0.00")&amp;"-"&amp;TEXT(INDEX(原始数据!$B$3:$H$26, MATCH(Q$2, 原始数据!$A$3:$A$26, 0), MATCH($E27, 原始数据!$B$2:$H$2, 0))*0.95,"0.00%")</f>
        <v>9.60-11.40%</v>
      </c>
      <c r="R27" s="13" t="str">
        <f>TEXT(INDEX(原始数据!$B$3:$H$26, MATCH(R$2, 原始数据!$A$3:$A$26, 0), MATCH($E27, 原始数据!$B$2:$H$2, 0))*80,"0.00")&amp;"-"&amp;TEXT(INDEX(原始数据!$B$3:$H$26, MATCH(R$2, 原始数据!$A$3:$A$26, 0), MATCH($E27, 原始数据!$B$2:$H$2, 0))*0.95,"0.00%")</f>
        <v>9.60-11.40%</v>
      </c>
      <c r="S27" s="13" t="str">
        <f>INDEX(原始数据!$B$3:$H$26, MATCH(S$2, 原始数据!$A$3:$A$26, 0), MATCH($E27, 原始数据!$B$2:$H$2, 0))*0.8&amp;"-"&amp;INDEX(原始数据!$B$3:$H$26, MATCH(S$2, 原始数据!$A$3:$A$26, 0), MATCH($E27, 原始数据!$B$2:$H$2, 0))*0.95</f>
        <v>24-28.5</v>
      </c>
      <c r="T27" s="13" t="str">
        <f>INDEX(原始数据!$B$3:$H$26, MATCH(T$2, 原始数据!$A$3:$A$26, 0), MATCH($E27, 原始数据!$B$2:$H$2, 0))*0.8&amp;"-"&amp;INDEX(原始数据!$B$3:$H$26, MATCH(T$2, 原始数据!$A$3:$A$26, 0), MATCH($E27, 原始数据!$B$2:$H$2, 0))*0.95</f>
        <v>24-28.5</v>
      </c>
      <c r="U27" s="13" t="str">
        <f>INDEX(原始数据!$B$3:$H$26, MATCH(U$2, 原始数据!$A$3:$A$26, 0), MATCH($E27, 原始数据!$B$2:$H$2, 0))*0.8&amp;"-"&amp;INDEX(原始数据!$B$3:$H$26, MATCH(U$2, 原始数据!$A$3:$A$26, 0), MATCH($E27, 原始数据!$B$2:$H$2, 0))*0.95</f>
        <v>4.8-5.7</v>
      </c>
      <c r="V27" s="13" t="str">
        <f>INDEX(原始数据!$B$3:$H$26, MATCH(V$2, 原始数据!$A$3:$A$26, 0), MATCH($E27, 原始数据!$B$2:$H$2, 0))*0.8&amp;"-"&amp;INDEX(原始数据!$B$3:$H$26, MATCH(V$2, 原始数据!$A$3:$A$26, 0), MATCH($E27, 原始数据!$B$2:$H$2, 0))*0.95</f>
        <v>19.2-22.8</v>
      </c>
      <c r="AA27" s="13"/>
      <c r="AB27" s="13" t="str">
        <f>TEXT(INDEX(原始数据!$B$3:$H$26, MATCH(AB$2, 原始数据!$A$3:$A$26, 0), MATCH($E27, 原始数据!$B$2:$H$2, 0))*80,"0.00")&amp;"-"&amp;TEXT(INDEX(原始数据!$B$3:$H$26, MATCH(AB$2, 原始数据!$A$3:$A$26, 0), MATCH($E27, 原始数据!$B$2:$H$2, 0))*0.95,"0.00%")</f>
        <v>7.20-8.55%</v>
      </c>
      <c r="AC27" s="13" t="str">
        <f>INDEX(原始数据!$B$3:$H$26, MATCH(AC$2, 原始数据!$A$3:$A$26, 0), MATCH($E27, 原始数据!$B$2:$H$2, 0))*0.8&amp;"-"&amp;INDEX(原始数据!$B$3:$H$26, MATCH(AC$2, 原始数据!$A$3:$A$26, 0), MATCH($E27, 原始数据!$B$2:$H$2, 0))*0.95</f>
        <v>360-427.5</v>
      </c>
      <c r="AD27" s="13"/>
      <c r="AF27" s="13"/>
      <c r="AH27" s="13"/>
      <c r="AJ27" s="13"/>
      <c r="AV27" s="1" t="s">
        <v>368</v>
      </c>
    </row>
    <row r="28" spans="2:48" x14ac:dyDescent="0.2">
      <c r="B28">
        <f>ID编号[id编号]*1000+ROW()-6</f>
        <v>108022</v>
      </c>
      <c r="C28" s="7" t="s">
        <v>41</v>
      </c>
      <c r="D28">
        <v>1</v>
      </c>
      <c r="E28">
        <v>6</v>
      </c>
      <c r="F28">
        <v>6</v>
      </c>
      <c r="G28">
        <v>0</v>
      </c>
      <c r="I28" s="6"/>
      <c r="K28" s="13" t="str">
        <f>TEXT(INDEX(原始数据!$B$3:$H$26, MATCH(K$2, 原始数据!$A$3:$A$26, 0), MATCH($E28, 原始数据!$B$2:$H$2, 0))*80,"0.00")&amp;"-"&amp;TEXT(INDEX(原始数据!$B$3:$H$26, MATCH(K$2, 原始数据!$A$3:$A$26, 0), MATCH($E28, 原始数据!$B$2:$H$2, 0))*0.95,"0.00%")</f>
        <v>9.60-11.40%</v>
      </c>
      <c r="L28" s="13" t="str">
        <f>TEXT(INDEX(原始数据!$B$3:$H$26, MATCH(L$2, 原始数据!$A$3:$A$26, 0), MATCH($E28, 原始数据!$B$2:$H$2, 0))*80,"0.00")&amp;"-"&amp;TEXT(INDEX(原始数据!$B$3:$H$26, MATCH(L$2, 原始数据!$A$3:$A$26, 0), MATCH($E28, 原始数据!$B$2:$H$2, 0))*0.95,"0.00%")</f>
        <v>9.60-11.40%</v>
      </c>
      <c r="M28" s="13" t="str">
        <f>INDEX(原始数据!$B$3:$H$26, MATCH(M$2, 原始数据!$A$3:$A$26, 0), MATCH($E28, 原始数据!$B$2:$H$2, 0))*0.8&amp;"-"&amp;INDEX(原始数据!$B$3:$H$26, MATCH(M$2, 原始数据!$A$3:$A$26, 0), MATCH($E28, 原始数据!$B$2:$H$2, 0))*0.95</f>
        <v>36-42.75</v>
      </c>
      <c r="N28" s="13" t="str">
        <f>INDEX(原始数据!$B$3:$H$26, MATCH(N$2, 原始数据!$A$3:$A$26, 0), MATCH($E28, 原始数据!$B$2:$H$2, 0))*0.8&amp;"-"&amp;INDEX(原始数据!$B$3:$H$26, MATCH(N$2, 原始数据!$A$3:$A$26, 0), MATCH($E28, 原始数据!$B$2:$H$2, 0))*0.95</f>
        <v>36-42.75</v>
      </c>
      <c r="O28" s="13"/>
      <c r="P28" s="13"/>
      <c r="Q28" s="13" t="str">
        <f>TEXT(INDEX(原始数据!$B$3:$H$26, MATCH(Q$2, 原始数据!$A$3:$A$26, 0), MATCH($E28, 原始数据!$B$2:$H$2, 0))*80,"0.00")&amp;"-"&amp;TEXT(INDEX(原始数据!$B$3:$H$26, MATCH(Q$2, 原始数据!$A$3:$A$26, 0), MATCH($E28, 原始数据!$B$2:$H$2, 0))*0.95,"0.00%")</f>
        <v>9.60-11.40%</v>
      </c>
      <c r="R28" s="13" t="str">
        <f>TEXT(INDEX(原始数据!$B$3:$H$26, MATCH(R$2, 原始数据!$A$3:$A$26, 0), MATCH($E28, 原始数据!$B$2:$H$2, 0))*80,"0.00")&amp;"-"&amp;TEXT(INDEX(原始数据!$B$3:$H$26, MATCH(R$2, 原始数据!$A$3:$A$26, 0), MATCH($E28, 原始数据!$B$2:$H$2, 0))*0.95,"0.00%")</f>
        <v>9.60-11.40%</v>
      </c>
      <c r="S28" s="13" t="str">
        <f>INDEX(原始数据!$B$3:$H$26, MATCH(S$2, 原始数据!$A$3:$A$26, 0), MATCH($E28, 原始数据!$B$2:$H$2, 0))*0.8&amp;"-"&amp;INDEX(原始数据!$B$3:$H$26, MATCH(S$2, 原始数据!$A$3:$A$26, 0), MATCH($E28, 原始数据!$B$2:$H$2, 0))*0.95</f>
        <v>24-28.5</v>
      </c>
      <c r="T28" s="13" t="str">
        <f>INDEX(原始数据!$B$3:$H$26, MATCH(T$2, 原始数据!$A$3:$A$26, 0), MATCH($E28, 原始数据!$B$2:$H$2, 0))*0.8&amp;"-"&amp;INDEX(原始数据!$B$3:$H$26, MATCH(T$2, 原始数据!$A$3:$A$26, 0), MATCH($E28, 原始数据!$B$2:$H$2, 0))*0.95</f>
        <v>24-28.5</v>
      </c>
      <c r="U28" s="13" t="str">
        <f>INDEX(原始数据!$B$3:$H$26, MATCH(U$2, 原始数据!$A$3:$A$26, 0), MATCH($E28, 原始数据!$B$2:$H$2, 0))*0.8&amp;"-"&amp;INDEX(原始数据!$B$3:$H$26, MATCH(U$2, 原始数据!$A$3:$A$26, 0), MATCH($E28, 原始数据!$B$2:$H$2, 0))*0.95</f>
        <v>4.8-5.7</v>
      </c>
      <c r="V28" s="13" t="str">
        <f>INDEX(原始数据!$B$3:$H$26, MATCH(V$2, 原始数据!$A$3:$A$26, 0), MATCH($E28, 原始数据!$B$2:$H$2, 0))*0.8&amp;"-"&amp;INDEX(原始数据!$B$3:$H$26, MATCH(V$2, 原始数据!$A$3:$A$26, 0), MATCH($E28, 原始数据!$B$2:$H$2, 0))*0.95</f>
        <v>19.2-22.8</v>
      </c>
      <c r="AA28" s="13"/>
      <c r="AB28" s="13" t="str">
        <f>TEXT(INDEX(原始数据!$B$3:$H$26, MATCH(AB$2, 原始数据!$A$3:$A$26, 0), MATCH($E28, 原始数据!$B$2:$H$2, 0))*80,"0.00")&amp;"-"&amp;TEXT(INDEX(原始数据!$B$3:$H$26, MATCH(AB$2, 原始数据!$A$3:$A$26, 0), MATCH($E28, 原始数据!$B$2:$H$2, 0))*0.95,"0.00%")</f>
        <v>7.20-8.55%</v>
      </c>
      <c r="AC28" s="13" t="str">
        <f>INDEX(原始数据!$B$3:$H$26, MATCH(AC$2, 原始数据!$A$3:$A$26, 0), MATCH($E28, 原始数据!$B$2:$H$2, 0))*0.8&amp;"-"&amp;INDEX(原始数据!$B$3:$H$26, MATCH(AC$2, 原始数据!$A$3:$A$26, 0), MATCH($E28, 原始数据!$B$2:$H$2, 0))*0.95</f>
        <v>360-427.5</v>
      </c>
      <c r="AD28" s="13"/>
      <c r="AF28" s="13"/>
      <c r="AH28" s="13"/>
      <c r="AJ28" s="13"/>
      <c r="AV28" s="1" t="s">
        <v>369</v>
      </c>
    </row>
    <row r="29" spans="2:48" x14ac:dyDescent="0.2">
      <c r="B29">
        <f>ID编号[id编号]*1000+ROW()-6</f>
        <v>108023</v>
      </c>
      <c r="C29" s="1" t="s">
        <v>34</v>
      </c>
      <c r="D29">
        <v>1</v>
      </c>
      <c r="E29">
        <v>6</v>
      </c>
      <c r="F29">
        <v>7</v>
      </c>
      <c r="G29">
        <v>0</v>
      </c>
      <c r="I29" s="6"/>
      <c r="M29" s="13"/>
      <c r="N29" s="13"/>
      <c r="O29" s="13"/>
      <c r="P29" s="13"/>
      <c r="S29" s="13"/>
      <c r="T29" s="13"/>
      <c r="W29" s="13" t="str">
        <f>TEXT(INDEX(原始数据!$B$3:$H$26, MATCH(W$2, 原始数据!$A$3:$A$26, 0), MATCH($E29, 原始数据!$B$2:$H$2, 0))*80,"0.00")&amp;"-"&amp;TEXT(INDEX(原始数据!$B$3:$H$26, MATCH(W$2, 原始数据!$A$3:$A$26, 0), MATCH($E29, 原始数据!$B$2:$H$2, 0))*0.95,"0.00%")</f>
        <v>4.80-5.70%</v>
      </c>
      <c r="X29" s="13" t="str">
        <f>TEXT(INDEX(原始数据!$B$3:$H$26, MATCH(X$2, 原始数据!$A$3:$A$26, 0), MATCH($E29, 原始数据!$B$2:$H$2, 0))*80,"0.00")&amp;"-"&amp;TEXT(INDEX(原始数据!$B$3:$H$26, MATCH(X$2, 原始数据!$A$3:$A$26, 0), MATCH($E29, 原始数据!$B$2:$H$2, 0))*0.95,"0.00%")</f>
        <v>4.80-5.70%</v>
      </c>
      <c r="Y29" s="13" t="str">
        <f>TEXT(INDEX(原始数据!$B$3:$H$26, MATCH(Y$2, 原始数据!$A$3:$A$26, 0), MATCH($E29, 原始数据!$B$2:$H$2, 0))*80,"0.00")&amp;"-"&amp;TEXT(INDEX(原始数据!$B$3:$H$26, MATCH(Y$2, 原始数据!$A$3:$A$26, 0), MATCH($E29, 原始数据!$B$2:$H$2, 0))*0.95,"0.00%")</f>
        <v>6.00-7.13%</v>
      </c>
      <c r="Z29" s="13" t="str">
        <f>TEXT(INDEX(原始数据!$B$3:$H$26, MATCH(Z$2, 原始数据!$A$3:$A$26, 0), MATCH($E29, 原始数据!$B$2:$H$2, 0))*80,"0.00")&amp;"-"&amp;TEXT(INDEX(原始数据!$B$3:$H$26, MATCH(Z$2, 原始数据!$A$3:$A$26, 0), MATCH($E29, 原始数据!$B$2:$H$2, 0))*0.95,"0.00%")</f>
        <v>24.00-28.50%</v>
      </c>
      <c r="AA29" s="13"/>
      <c r="AC29" s="13"/>
      <c r="AD29" s="13" t="str">
        <f>INDEX(原始数据!$B$3:$H$26, MATCH(AD$2, 原始数据!$A$3:$A$26, 0), MATCH($E29, 原始数据!$B$2:$H$2, 0))*0.8&amp;"-"&amp;INDEX(原始数据!$B$3:$H$26, MATCH(AD$2, 原始数据!$A$3:$A$26, 0), MATCH($E29, 原始数据!$B$2:$H$2, 0))*0.95</f>
        <v>72-85.5</v>
      </c>
      <c r="AE29" s="13" t="str">
        <f>TEXT(INDEX(原始数据!$B$3:$H$26, MATCH(AE$2, 原始数据!$A$3:$A$26, 0), MATCH($E29, 原始数据!$B$2:$H$2, 0))*80,"0.00")&amp;"-"&amp;TEXT(INDEX(原始数据!$B$3:$H$26, MATCH(AE$2, 原始数据!$A$3:$A$26, 0), MATCH($E29, 原始数据!$B$2:$H$2, 0))*0.95,"0.00%")</f>
        <v>72.00-85.50%</v>
      </c>
      <c r="AF29" s="13" t="str">
        <f>INDEX(原始数据!$B$3:$H$26, MATCH(AF$2, 原始数据!$A$3:$A$26, 0), MATCH($E29, 原始数据!$B$2:$H$2, 0))*0.8&amp;"-"&amp;INDEX(原始数据!$B$3:$H$26, MATCH(AF$2, 原始数据!$A$3:$A$26, 0), MATCH($E29, 原始数据!$B$2:$H$2, 0))*0.95</f>
        <v>3.6-4.275</v>
      </c>
      <c r="AG29" s="13" t="str">
        <f>TEXT(INDEX(原始数据!$B$3:$H$26, MATCH(AG$2, 原始数据!$A$3:$A$26, 0), MATCH($E29, 原始数据!$B$2:$H$2, 0))*80,"0.00")&amp;"-"&amp;TEXT(INDEX(原始数据!$B$3:$H$26, MATCH(AG$2, 原始数据!$A$3:$A$26, 0), MATCH($E29, 原始数据!$B$2:$H$2, 0))*0.95,"0.00%")</f>
        <v>72.00-85.50%</v>
      </c>
      <c r="AH29" s="13" t="str">
        <f>INDEX(原始数据!$B$3:$H$26, MATCH(AH$2, 原始数据!$A$3:$A$26, 0), MATCH($E29, 原始数据!$B$2:$H$2, 0))*0.8&amp;"-"&amp;INDEX(原始数据!$B$3:$H$26, MATCH(AH$2, 原始数据!$A$3:$A$26, 0), MATCH($E29, 原始数据!$B$2:$H$2, 0))*0.95</f>
        <v>72-85.5</v>
      </c>
      <c r="AI29" s="13" t="str">
        <f>TEXT(INDEX(原始数据!$B$3:$H$26, MATCH(AI$2, 原始数据!$A$3:$A$26, 0), MATCH($E29, 原始数据!$B$2:$H$2, 0))*80,"0.00")&amp;"-"&amp;TEXT(INDEX(原始数据!$B$3:$H$26, MATCH(AI$2, 原始数据!$A$3:$A$26, 0), MATCH($E29, 原始数据!$B$2:$H$2, 0))*0.95,"0.00%")</f>
        <v>60.00-71.25%</v>
      </c>
      <c r="AJ29" s="13" t="str">
        <f>INDEX(原始数据!$B$3:$H$26, MATCH(AJ$2, 原始数据!$A$3:$A$26, 0), MATCH($E29, 原始数据!$B$2:$H$2, 0))*0.8&amp;"-"&amp;INDEX(原始数据!$B$3:$H$26, MATCH(AJ$2, 原始数据!$A$3:$A$26, 0), MATCH($E29, 原始数据!$B$2:$H$2, 0))*0.95</f>
        <v>3.6-4.275</v>
      </c>
      <c r="AK29" s="13" t="str">
        <f>TEXT(INDEX(原始数据!$B$3:$H$26, MATCH(AK$2, 原始数据!$A$3:$A$26, 0), MATCH($E29, 原始数据!$B$2:$H$2, 0))*80,"0.00")&amp;"-"&amp;TEXT(INDEX(原始数据!$B$3:$H$26, MATCH(AK$2, 原始数据!$A$3:$A$26, 0), MATCH($E29, 原始数据!$B$2:$H$2, 0))*0.95,"0.00%")</f>
        <v>72.00-85.50%</v>
      </c>
      <c r="AV29" s="1" t="s">
        <v>370</v>
      </c>
    </row>
    <row r="30" spans="2:48" x14ac:dyDescent="0.2">
      <c r="B30">
        <f>ID编号[id编号]*1000+ROW()-6</f>
        <v>108024</v>
      </c>
      <c r="C30" s="1" t="s">
        <v>42</v>
      </c>
      <c r="D30">
        <v>1</v>
      </c>
      <c r="E30">
        <v>7</v>
      </c>
      <c r="F30">
        <v>6</v>
      </c>
      <c r="G30">
        <v>0</v>
      </c>
      <c r="I30" s="6"/>
      <c r="K30" s="13" t="str">
        <f>TEXT(INDEX(原始数据!$B$3:$H$26, MATCH(K$2, 原始数据!$A$3:$A$26, 0), MATCH($E30, 原始数据!$B$2:$H$2, 0))*80,"0.00")&amp;"-"&amp;TEXT(INDEX(原始数据!$B$3:$H$26, MATCH(K$2, 原始数据!$A$3:$A$26, 0), MATCH($E30, 原始数据!$B$2:$H$2, 0))*0.95,"0.00%")</f>
        <v>10.40-12.35%</v>
      </c>
      <c r="L30" s="13" t="str">
        <f>TEXT(INDEX(原始数据!$B$3:$H$26, MATCH(L$2, 原始数据!$A$3:$A$26, 0), MATCH($E30, 原始数据!$B$2:$H$2, 0))*80,"0.00")&amp;"-"&amp;TEXT(INDEX(原始数据!$B$3:$H$26, MATCH(L$2, 原始数据!$A$3:$A$26, 0), MATCH($E30, 原始数据!$B$2:$H$2, 0))*0.95,"0.00%")</f>
        <v>10.40-12.35%</v>
      </c>
      <c r="M30" s="13" t="str">
        <f>INDEX(原始数据!$B$3:$H$26, MATCH(M$2, 原始数据!$A$3:$A$26, 0), MATCH($E30, 原始数据!$B$2:$H$2, 0))*0.8&amp;"-"&amp;INDEX(原始数据!$B$3:$H$26, MATCH(M$2, 原始数据!$A$3:$A$26, 0), MATCH($E30, 原始数据!$B$2:$H$2, 0))*0.95</f>
        <v>39-46.3125</v>
      </c>
      <c r="N30" s="13" t="str">
        <f>INDEX(原始数据!$B$3:$H$26, MATCH(N$2, 原始数据!$A$3:$A$26, 0), MATCH($E30, 原始数据!$B$2:$H$2, 0))*0.8&amp;"-"&amp;INDEX(原始数据!$B$3:$H$26, MATCH(N$2, 原始数据!$A$3:$A$26, 0), MATCH($E30, 原始数据!$B$2:$H$2, 0))*0.95</f>
        <v>39-46.3125</v>
      </c>
      <c r="O30" s="13"/>
      <c r="P30" s="13"/>
      <c r="Q30" s="13" t="str">
        <f>TEXT(INDEX(原始数据!$B$3:$H$26, MATCH(Q$2, 原始数据!$A$3:$A$26, 0), MATCH($E30, 原始数据!$B$2:$H$2, 0))*80,"0.00")&amp;"-"&amp;TEXT(INDEX(原始数据!$B$3:$H$26, MATCH(Q$2, 原始数据!$A$3:$A$26, 0), MATCH($E30, 原始数据!$B$2:$H$2, 0))*0.95,"0.00%")</f>
        <v>10.40-12.35%</v>
      </c>
      <c r="R30" s="13" t="str">
        <f>TEXT(INDEX(原始数据!$B$3:$H$26, MATCH(R$2, 原始数据!$A$3:$A$26, 0), MATCH($E30, 原始数据!$B$2:$H$2, 0))*80,"0.00")&amp;"-"&amp;TEXT(INDEX(原始数据!$B$3:$H$26, MATCH(R$2, 原始数据!$A$3:$A$26, 0), MATCH($E30, 原始数据!$B$2:$H$2, 0))*0.95,"0.00%")</f>
        <v>10.40-12.35%</v>
      </c>
      <c r="S30" s="13" t="str">
        <f>INDEX(原始数据!$B$3:$H$26, MATCH(S$2, 原始数据!$A$3:$A$26, 0), MATCH($E30, 原始数据!$B$2:$H$2, 0))*0.8&amp;"-"&amp;INDEX(原始数据!$B$3:$H$26, MATCH(S$2, 原始数据!$A$3:$A$26, 0), MATCH($E30, 原始数据!$B$2:$H$2, 0))*0.95</f>
        <v>26-30.875</v>
      </c>
      <c r="T30" s="13" t="str">
        <f>INDEX(原始数据!$B$3:$H$26, MATCH(T$2, 原始数据!$A$3:$A$26, 0), MATCH($E30, 原始数据!$B$2:$H$2, 0))*0.8&amp;"-"&amp;INDEX(原始数据!$B$3:$H$26, MATCH(T$2, 原始数据!$A$3:$A$26, 0), MATCH($E30, 原始数据!$B$2:$H$2, 0))*0.95</f>
        <v>26-30.875</v>
      </c>
      <c r="U30" s="13" t="str">
        <f>INDEX(原始数据!$B$3:$H$26, MATCH(U$2, 原始数据!$A$3:$A$26, 0), MATCH($E30, 原始数据!$B$2:$H$2, 0))*0.8&amp;"-"&amp;INDEX(原始数据!$B$3:$H$26, MATCH(U$2, 原始数据!$A$3:$A$26, 0), MATCH($E30, 原始数据!$B$2:$H$2, 0))*0.95</f>
        <v>5.2-6.175</v>
      </c>
      <c r="V30" s="13" t="str">
        <f>INDEX(原始数据!$B$3:$H$26, MATCH(V$2, 原始数据!$A$3:$A$26, 0), MATCH($E30, 原始数据!$B$2:$H$2, 0))*0.8&amp;"-"&amp;INDEX(原始数据!$B$3:$H$26, MATCH(V$2, 原始数据!$A$3:$A$26, 0), MATCH($E30, 原始数据!$B$2:$H$2, 0))*0.95</f>
        <v>20.8-24.7</v>
      </c>
      <c r="AA30" s="13"/>
      <c r="AB30" s="13" t="str">
        <f>TEXT(INDEX(原始数据!$B$3:$H$26, MATCH(AB$2, 原始数据!$A$3:$A$26, 0), MATCH($E30, 原始数据!$B$2:$H$2, 0))*80,"0.00")&amp;"-"&amp;TEXT(INDEX(原始数据!$B$3:$H$26, MATCH(AB$2, 原始数据!$A$3:$A$26, 0), MATCH($E30, 原始数据!$B$2:$H$2, 0))*0.95,"0.00%")</f>
        <v>7.80-9.26%</v>
      </c>
      <c r="AC30" s="13" t="str">
        <f>INDEX(原始数据!$B$3:$H$26, MATCH(AC$2, 原始数据!$A$3:$A$26, 0), MATCH($E30, 原始数据!$B$2:$H$2, 0))*0.8&amp;"-"&amp;INDEX(原始数据!$B$3:$H$26, MATCH(AC$2, 原始数据!$A$3:$A$26, 0), MATCH($E30, 原始数据!$B$2:$H$2, 0))*0.95</f>
        <v>390-463.125</v>
      </c>
      <c r="AD30" s="13"/>
      <c r="AF30" s="13"/>
      <c r="AH30" s="13"/>
      <c r="AJ30" s="13"/>
      <c r="AV30" s="1" t="s">
        <v>371</v>
      </c>
    </row>
    <row r="31" spans="2:48" x14ac:dyDescent="0.2">
      <c r="B31">
        <f>ID编号[id编号]*1000+ROW()-6</f>
        <v>108025</v>
      </c>
      <c r="C31" s="1" t="s">
        <v>35</v>
      </c>
      <c r="D31">
        <v>1</v>
      </c>
      <c r="E31">
        <v>7</v>
      </c>
      <c r="F31">
        <v>7</v>
      </c>
      <c r="G31">
        <v>0</v>
      </c>
      <c r="I31" s="6"/>
      <c r="M31" s="13"/>
      <c r="N31" s="13"/>
      <c r="O31" s="13"/>
      <c r="P31" s="13"/>
      <c r="S31" s="13"/>
      <c r="T31" s="13"/>
      <c r="W31" s="13" t="str">
        <f>TEXT(INDEX(原始数据!$B$3:$H$26, MATCH(W$2, 原始数据!$A$3:$A$26, 0), MATCH($E31, 原始数据!$B$2:$H$2, 0))*80,"0.00")&amp;"-"&amp;TEXT(INDEX(原始数据!$B$3:$H$26, MATCH(W$2, 原始数据!$A$3:$A$26, 0), MATCH($E31, 原始数据!$B$2:$H$2, 0))*0.95,"0.00%")</f>
        <v>5.20-6.18%</v>
      </c>
      <c r="X31" s="13" t="str">
        <f>TEXT(INDEX(原始数据!$B$3:$H$26, MATCH(X$2, 原始数据!$A$3:$A$26, 0), MATCH($E31, 原始数据!$B$2:$H$2, 0))*80,"0.00")&amp;"-"&amp;TEXT(INDEX(原始数据!$B$3:$H$26, MATCH(X$2, 原始数据!$A$3:$A$26, 0), MATCH($E31, 原始数据!$B$2:$H$2, 0))*0.95,"0.00%")</f>
        <v>5.20-6.18%</v>
      </c>
      <c r="Y31" s="13" t="str">
        <f>TEXT(INDEX(原始数据!$B$3:$H$26, MATCH(Y$2, 原始数据!$A$3:$A$26, 0), MATCH($E31, 原始数据!$B$2:$H$2, 0))*80,"0.00")&amp;"-"&amp;TEXT(INDEX(原始数据!$B$3:$H$26, MATCH(Y$2, 原始数据!$A$3:$A$26, 0), MATCH($E31, 原始数据!$B$2:$H$2, 0))*0.95,"0.00%")</f>
        <v>6.50-7.72%</v>
      </c>
      <c r="Z31" s="13" t="str">
        <f>TEXT(INDEX(原始数据!$B$3:$H$26, MATCH(Z$2, 原始数据!$A$3:$A$26, 0), MATCH($E31, 原始数据!$B$2:$H$2, 0))*80,"0.00")&amp;"-"&amp;TEXT(INDEX(原始数据!$B$3:$H$26, MATCH(Z$2, 原始数据!$A$3:$A$26, 0), MATCH($E31, 原始数据!$B$2:$H$2, 0))*0.95,"0.00%")</f>
        <v>26.00-30.88%</v>
      </c>
      <c r="AA31" s="13"/>
      <c r="AC31" s="13"/>
      <c r="AD31" s="13" t="str">
        <f>INDEX(原始数据!$B$3:$H$26, MATCH(AD$2, 原始数据!$A$3:$A$26, 0), MATCH($E31, 原始数据!$B$2:$H$2, 0))*0.8&amp;"-"&amp;INDEX(原始数据!$B$3:$H$26, MATCH(AD$2, 原始数据!$A$3:$A$26, 0), MATCH($E31, 原始数据!$B$2:$H$2, 0))*0.95</f>
        <v>78-92.625</v>
      </c>
      <c r="AE31" s="13" t="str">
        <f>TEXT(INDEX(原始数据!$B$3:$H$26, MATCH(AE$2, 原始数据!$A$3:$A$26, 0), MATCH($E31, 原始数据!$B$2:$H$2, 0))*80,"0.00")&amp;"-"&amp;TEXT(INDEX(原始数据!$B$3:$H$26, MATCH(AE$2, 原始数据!$A$3:$A$26, 0), MATCH($E31, 原始数据!$B$2:$H$2, 0))*0.95,"0.00%")</f>
        <v>65.00-77.19%</v>
      </c>
      <c r="AF31" s="13" t="str">
        <f>INDEX(原始数据!$B$3:$H$26, MATCH(AF$2, 原始数据!$A$3:$A$26, 0), MATCH($E31, 原始数据!$B$2:$H$2, 0))*0.8&amp;"-"&amp;INDEX(原始数据!$B$3:$H$26, MATCH(AF$2, 原始数据!$A$3:$A$26, 0), MATCH($E31, 原始数据!$B$2:$H$2, 0))*0.95</f>
        <v>3.9-4.63125</v>
      </c>
      <c r="AG31" s="13" t="str">
        <f>TEXT(INDEX(原始数据!$B$3:$H$26, MATCH(AG$2, 原始数据!$A$3:$A$26, 0), MATCH($E31, 原始数据!$B$2:$H$2, 0))*80,"0.00")&amp;"-"&amp;TEXT(INDEX(原始数据!$B$3:$H$26, MATCH(AG$2, 原始数据!$A$3:$A$26, 0), MATCH($E31, 原始数据!$B$2:$H$2, 0))*0.95,"0.00%")</f>
        <v>78.00-92.63%</v>
      </c>
      <c r="AH31" s="13" t="str">
        <f>INDEX(原始数据!$B$3:$H$26, MATCH(AH$2, 原始数据!$A$3:$A$26, 0), MATCH($E31, 原始数据!$B$2:$H$2, 0))*0.8&amp;"-"&amp;INDEX(原始数据!$B$3:$H$26, MATCH(AH$2, 原始数据!$A$3:$A$26, 0), MATCH($E31, 原始数据!$B$2:$H$2, 0))*0.95</f>
        <v>78-92.625</v>
      </c>
      <c r="AI31" s="13" t="str">
        <f>TEXT(INDEX(原始数据!$B$3:$H$26, MATCH(AI$2, 原始数据!$A$3:$A$26, 0), MATCH($E31, 原始数据!$B$2:$H$2, 0))*80,"0.00")&amp;"-"&amp;TEXT(INDEX(原始数据!$B$3:$H$26, MATCH(AI$2, 原始数据!$A$3:$A$26, 0), MATCH($E31, 原始数据!$B$2:$H$2, 0))*0.95,"0.00%")</f>
        <v>65.00-77.19%</v>
      </c>
      <c r="AJ31" s="13" t="str">
        <f>INDEX(原始数据!$B$3:$H$26, MATCH(AJ$2, 原始数据!$A$3:$A$26, 0), MATCH($E31, 原始数据!$B$2:$H$2, 0))*0.8&amp;"-"&amp;INDEX(原始数据!$B$3:$H$26, MATCH(AJ$2, 原始数据!$A$3:$A$26, 0), MATCH($E31, 原始数据!$B$2:$H$2, 0))*0.95</f>
        <v>3.9-4.63125</v>
      </c>
      <c r="AK31" s="13" t="str">
        <f>TEXT(INDEX(原始数据!$B$3:$H$26, MATCH(AK$2, 原始数据!$A$3:$A$26, 0), MATCH($E31, 原始数据!$B$2:$H$2, 0))*80,"0.00")&amp;"-"&amp;TEXT(INDEX(原始数据!$B$3:$H$26, MATCH(AK$2, 原始数据!$A$3:$A$26, 0), MATCH($E31, 原始数据!$B$2:$H$2, 0))*0.95,"0.00%")</f>
        <v>78.00-92.63%</v>
      </c>
      <c r="AV31" s="1" t="s">
        <v>372</v>
      </c>
    </row>
    <row r="32" spans="2:48" x14ac:dyDescent="0.2">
      <c r="B32">
        <f>ID编号[id编号]*1000+ROW()-6</f>
        <v>108026</v>
      </c>
      <c r="C32" s="1" t="s">
        <v>57</v>
      </c>
      <c r="D32">
        <v>2</v>
      </c>
      <c r="E32">
        <v>1</v>
      </c>
      <c r="F32">
        <v>0</v>
      </c>
      <c r="G32">
        <v>0</v>
      </c>
      <c r="I32" s="6"/>
      <c r="K32" s="13" t="str">
        <f>TEXT(INDEX(原始数据!$B$3:$H$26, MATCH(K$2, 原始数据!$A$3:$A$26, 0), MATCH($E32, 原始数据!$B$2:$H$2, 0))*80,"0.00")&amp;"-"&amp;TEXT(INDEX(原始数据!$B$3:$H$26, MATCH(K$2, 原始数据!$A$3:$A$26, 0), MATCH($E32, 原始数据!$B$2:$H$2, 0))*0.95,"0.00%")</f>
        <v>1.60-1.90%</v>
      </c>
      <c r="L32" s="13" t="str">
        <f>TEXT(INDEX(原始数据!$B$3:$H$26, MATCH(L$2, 原始数据!$A$3:$A$26, 0), MATCH($E32, 原始数据!$B$2:$H$2, 0))*80,"0.00")&amp;"-"&amp;TEXT(INDEX(原始数据!$B$3:$H$26, MATCH(L$2, 原始数据!$A$3:$A$26, 0), MATCH($E32, 原始数据!$B$2:$H$2, 0))*0.95,"0.00%")</f>
        <v>1.60-1.90%</v>
      </c>
      <c r="M32" s="13" t="str">
        <f>INDEX(原始数据!$B$3:$H$26, MATCH(M$2, 原始数据!$A$3:$A$26, 0), MATCH($E32, 原始数据!$B$2:$H$2, 0))*0.8&amp;"-"&amp;INDEX(原始数据!$B$3:$H$26, MATCH(M$2, 原始数据!$A$3:$A$26, 0), MATCH($E32, 原始数据!$B$2:$H$2, 0))*0.95</f>
        <v>6-7.125</v>
      </c>
      <c r="N32" s="13" t="str">
        <f>INDEX(原始数据!$B$3:$H$26, MATCH(N$2, 原始数据!$A$3:$A$26, 0), MATCH($E32, 原始数据!$B$2:$H$2, 0))*0.8&amp;"-"&amp;INDEX(原始数据!$B$3:$H$26, MATCH(N$2, 原始数据!$A$3:$A$26, 0), MATCH($E32, 原始数据!$B$2:$H$2, 0))*0.95</f>
        <v>6-7.125</v>
      </c>
      <c r="O32" s="13"/>
      <c r="P32" s="13"/>
      <c r="S32" s="13"/>
      <c r="T32" s="13"/>
      <c r="AA32" s="13"/>
      <c r="AC32" s="13"/>
      <c r="AD32" s="13"/>
      <c r="AF32" s="13"/>
      <c r="AH32" s="13"/>
      <c r="AJ32" s="13"/>
      <c r="AV32" s="1" t="s">
        <v>373</v>
      </c>
    </row>
    <row r="33" spans="2:48" x14ac:dyDescent="0.2">
      <c r="B33">
        <f>ID编号[id编号]*1000+ROW()-6</f>
        <v>108027</v>
      </c>
      <c r="C33" s="1" t="s">
        <v>43</v>
      </c>
      <c r="D33">
        <v>2</v>
      </c>
      <c r="E33">
        <v>1</v>
      </c>
      <c r="F33">
        <v>1</v>
      </c>
      <c r="G33">
        <v>0</v>
      </c>
      <c r="I33" s="6"/>
      <c r="M33" s="13"/>
      <c r="N33" s="13"/>
      <c r="O33" s="13"/>
      <c r="P33" s="13"/>
      <c r="Q33" s="13" t="str">
        <f>TEXT(INDEX(原始数据!$B$3:$H$26, MATCH(Q$2, 原始数据!$A$3:$A$26, 0), MATCH($E33, 原始数据!$B$2:$H$2, 0))*80,"0.00")&amp;"-"&amp;TEXT(INDEX(原始数据!$B$3:$H$26, MATCH(Q$2, 原始数据!$A$3:$A$26, 0), MATCH($E33, 原始数据!$B$2:$H$2, 0))*0.95,"0.00%")</f>
        <v>1.60-1.90%</v>
      </c>
      <c r="R33" s="13" t="str">
        <f>TEXT(INDEX(原始数据!$B$3:$H$26, MATCH(R$2, 原始数据!$A$3:$A$26, 0), MATCH($E33, 原始数据!$B$2:$H$2, 0))*80,"0.00")&amp;"-"&amp;TEXT(INDEX(原始数据!$B$3:$H$26, MATCH(R$2, 原始数据!$A$3:$A$26, 0), MATCH($E33, 原始数据!$B$2:$H$2, 0))*0.95,"0.00%")</f>
        <v>1.60-1.90%</v>
      </c>
      <c r="S33" s="13" t="str">
        <f>INDEX(原始数据!$B$3:$H$26, MATCH(S$2, 原始数据!$A$3:$A$26, 0), MATCH($E33, 原始数据!$B$2:$H$2, 0))*0.8&amp;"-"&amp;INDEX(原始数据!$B$3:$H$26, MATCH(S$2, 原始数据!$A$3:$A$26, 0), MATCH($E33, 原始数据!$B$2:$H$2, 0))*0.95</f>
        <v>4-4.75</v>
      </c>
      <c r="T33" s="13" t="str">
        <f>INDEX(原始数据!$B$3:$H$26, MATCH(T$2, 原始数据!$A$3:$A$26, 0), MATCH($E33, 原始数据!$B$2:$H$2, 0))*0.8&amp;"-"&amp;INDEX(原始数据!$B$3:$H$26, MATCH(T$2, 原始数据!$A$3:$A$26, 0), MATCH($E33, 原始数据!$B$2:$H$2, 0))*0.95</f>
        <v>4-4.75</v>
      </c>
      <c r="AA33" s="13"/>
      <c r="AC33" s="13"/>
      <c r="AD33" s="13"/>
      <c r="AF33" s="13"/>
      <c r="AH33" s="13"/>
      <c r="AJ33" s="13"/>
      <c r="AV33" s="1" t="s">
        <v>374</v>
      </c>
    </row>
    <row r="34" spans="2:48" x14ac:dyDescent="0.2">
      <c r="B34">
        <f>ID编号[id编号]*1000+ROW()-6</f>
        <v>108028</v>
      </c>
      <c r="C34" s="1" t="s">
        <v>50</v>
      </c>
      <c r="D34">
        <v>2</v>
      </c>
      <c r="E34">
        <v>1</v>
      </c>
      <c r="F34">
        <v>2</v>
      </c>
      <c r="G34">
        <v>0</v>
      </c>
      <c r="I34" s="6"/>
      <c r="M34" s="13"/>
      <c r="N34" s="13"/>
      <c r="O34" s="13"/>
      <c r="P34" s="13"/>
      <c r="S34" s="13"/>
      <c r="T34" s="13"/>
      <c r="U34" s="13" t="str">
        <f>INDEX(原始数据!$B$3:$H$26, MATCH(U$2, 原始数据!$A$3:$A$26, 0), MATCH($E34, 原始数据!$B$2:$H$2, 0))*0.8&amp;"-"&amp;INDEX(原始数据!$B$3:$H$26, MATCH(U$2, 原始数据!$A$3:$A$26, 0), MATCH($E34, 原始数据!$B$2:$H$2, 0))*0.95</f>
        <v>0.8-0.95</v>
      </c>
      <c r="V34" s="13" t="str">
        <f>INDEX(原始数据!$B$3:$H$26, MATCH(V$2, 原始数据!$A$3:$A$26, 0), MATCH($E34, 原始数据!$B$2:$H$2, 0))*0.8&amp;"-"&amp;INDEX(原始数据!$B$3:$H$26, MATCH(V$2, 原始数据!$A$3:$A$26, 0), MATCH($E34, 原始数据!$B$2:$H$2, 0))*0.95</f>
        <v>3.2-3.8</v>
      </c>
      <c r="AA34" s="13"/>
      <c r="AB34" s="13" t="str">
        <f>TEXT(INDEX(原始数据!$B$3:$H$26, MATCH(AB$2, 原始数据!$A$3:$A$26, 0), MATCH($E34, 原始数据!$B$2:$H$2, 0))*80,"0.00")&amp;"-"&amp;TEXT(INDEX(原始数据!$B$3:$H$26, MATCH(AB$2, 原始数据!$A$3:$A$26, 0), MATCH($E34, 原始数据!$B$2:$H$2, 0))*0.95,"0.00%")</f>
        <v>1.20-1.43%</v>
      </c>
      <c r="AC34" s="13" t="str">
        <f>INDEX(原始数据!$B$3:$H$26, MATCH(AC$2, 原始数据!$A$3:$A$26, 0), MATCH($E34, 原始数据!$B$2:$H$2, 0))*0.8&amp;"-"&amp;INDEX(原始数据!$B$3:$H$26, MATCH(AC$2, 原始数据!$A$3:$A$26, 0), MATCH($E34, 原始数据!$B$2:$H$2, 0))*0.95</f>
        <v>60-71.25</v>
      </c>
      <c r="AD34" s="13"/>
      <c r="AF34" s="13"/>
      <c r="AH34" s="13"/>
      <c r="AJ34" s="13"/>
      <c r="AV34" s="1" t="s">
        <v>375</v>
      </c>
    </row>
    <row r="35" spans="2:48" x14ac:dyDescent="0.2">
      <c r="B35">
        <f>ID编号[id编号]*1000+ROW()-6</f>
        <v>108029</v>
      </c>
      <c r="C35" s="1" t="s">
        <v>58</v>
      </c>
      <c r="D35">
        <v>2</v>
      </c>
      <c r="E35">
        <v>2</v>
      </c>
      <c r="F35">
        <v>0</v>
      </c>
      <c r="G35">
        <v>0</v>
      </c>
      <c r="I35" s="6"/>
      <c r="K35" s="13" t="str">
        <f>TEXT(INDEX(原始数据!$B$3:$H$26, MATCH(K$2, 原始数据!$A$3:$A$26, 0), MATCH($E35, 原始数据!$B$2:$H$2, 0))*80,"0.00")&amp;"-"&amp;TEXT(INDEX(原始数据!$B$3:$H$26, MATCH(K$2, 原始数据!$A$3:$A$26, 0), MATCH($E35, 原始数据!$B$2:$H$2, 0))*0.95,"0.00%")</f>
        <v>3.20-3.80%</v>
      </c>
      <c r="L35" s="13" t="str">
        <f>TEXT(INDEX(原始数据!$B$3:$H$26, MATCH(L$2, 原始数据!$A$3:$A$26, 0), MATCH($E35, 原始数据!$B$2:$H$2, 0))*80,"0.00")&amp;"-"&amp;TEXT(INDEX(原始数据!$B$3:$H$26, MATCH(L$2, 原始数据!$A$3:$A$26, 0), MATCH($E35, 原始数据!$B$2:$H$2, 0))*0.95,"0.00%")</f>
        <v>3.20-3.80%</v>
      </c>
      <c r="M35" s="13" t="str">
        <f>INDEX(原始数据!$B$3:$H$26, MATCH(M$2, 原始数据!$A$3:$A$26, 0), MATCH($E35, 原始数据!$B$2:$H$2, 0))*0.8&amp;"-"&amp;INDEX(原始数据!$B$3:$H$26, MATCH(M$2, 原始数据!$A$3:$A$26, 0), MATCH($E35, 原始数据!$B$2:$H$2, 0))*0.95</f>
        <v>12-14.25</v>
      </c>
      <c r="N35" s="13" t="str">
        <f>INDEX(原始数据!$B$3:$H$26, MATCH(N$2, 原始数据!$A$3:$A$26, 0), MATCH($E35, 原始数据!$B$2:$H$2, 0))*0.8&amp;"-"&amp;INDEX(原始数据!$B$3:$H$26, MATCH(N$2, 原始数据!$A$3:$A$26, 0), MATCH($E35, 原始数据!$B$2:$H$2, 0))*0.95</f>
        <v>12-14.25</v>
      </c>
      <c r="O35" s="13"/>
      <c r="P35" s="13"/>
      <c r="S35" s="13"/>
      <c r="T35" s="13"/>
      <c r="AA35" s="13"/>
      <c r="AC35" s="13"/>
      <c r="AD35" s="13"/>
      <c r="AF35" s="13"/>
      <c r="AH35" s="13"/>
      <c r="AJ35" s="13"/>
      <c r="AV35" s="1" t="s">
        <v>376</v>
      </c>
    </row>
    <row r="36" spans="2:48" x14ac:dyDescent="0.2">
      <c r="B36">
        <f>ID编号[id编号]*1000+ROW()-6</f>
        <v>108030</v>
      </c>
      <c r="C36" s="1" t="s">
        <v>44</v>
      </c>
      <c r="D36">
        <v>2</v>
      </c>
      <c r="E36">
        <v>2</v>
      </c>
      <c r="F36">
        <v>1</v>
      </c>
      <c r="G36">
        <v>0</v>
      </c>
      <c r="I36" s="6"/>
      <c r="M36" s="13"/>
      <c r="N36" s="13"/>
      <c r="O36" s="13"/>
      <c r="P36" s="13"/>
      <c r="Q36" s="13" t="str">
        <f>TEXT(INDEX(原始数据!$B$3:$H$26, MATCH(Q$2, 原始数据!$A$3:$A$26, 0), MATCH($E36, 原始数据!$B$2:$H$2, 0))*80,"0.00")&amp;"-"&amp;TEXT(INDEX(原始数据!$B$3:$H$26, MATCH(Q$2, 原始数据!$A$3:$A$26, 0), MATCH($E36, 原始数据!$B$2:$H$2, 0))*0.95,"0.00%")</f>
        <v>3.20-3.80%</v>
      </c>
      <c r="R36" s="13" t="str">
        <f>TEXT(INDEX(原始数据!$B$3:$H$26, MATCH(R$2, 原始数据!$A$3:$A$26, 0), MATCH($E36, 原始数据!$B$2:$H$2, 0))*80,"0.00")&amp;"-"&amp;TEXT(INDEX(原始数据!$B$3:$H$26, MATCH(R$2, 原始数据!$A$3:$A$26, 0), MATCH($E36, 原始数据!$B$2:$H$2, 0))*0.95,"0.00%")</f>
        <v>3.20-3.80%</v>
      </c>
      <c r="S36" s="13" t="str">
        <f>INDEX(原始数据!$B$3:$H$26, MATCH(S$2, 原始数据!$A$3:$A$26, 0), MATCH($E36, 原始数据!$B$2:$H$2, 0))*0.8&amp;"-"&amp;INDEX(原始数据!$B$3:$H$26, MATCH(S$2, 原始数据!$A$3:$A$26, 0), MATCH($E36, 原始数据!$B$2:$H$2, 0))*0.95</f>
        <v>8-9.5</v>
      </c>
      <c r="T36" s="13" t="str">
        <f>INDEX(原始数据!$B$3:$H$26, MATCH(T$2, 原始数据!$A$3:$A$26, 0), MATCH($E36, 原始数据!$B$2:$H$2, 0))*0.8&amp;"-"&amp;INDEX(原始数据!$B$3:$H$26, MATCH(T$2, 原始数据!$A$3:$A$26, 0), MATCH($E36, 原始数据!$B$2:$H$2, 0))*0.95</f>
        <v>8-9.5</v>
      </c>
      <c r="AA36" s="13"/>
      <c r="AC36" s="13"/>
      <c r="AD36" s="13"/>
      <c r="AF36" s="13"/>
      <c r="AH36" s="13"/>
      <c r="AJ36" s="13"/>
      <c r="AV36" s="1" t="s">
        <v>377</v>
      </c>
    </row>
    <row r="37" spans="2:48" x14ac:dyDescent="0.2">
      <c r="B37">
        <f>ID编号[id编号]*1000+ROW()-6</f>
        <v>108031</v>
      </c>
      <c r="C37" s="1" t="s">
        <v>51</v>
      </c>
      <c r="D37">
        <v>2</v>
      </c>
      <c r="E37">
        <v>2</v>
      </c>
      <c r="F37">
        <v>2</v>
      </c>
      <c r="G37">
        <v>0</v>
      </c>
      <c r="I37" s="6"/>
      <c r="M37" s="13"/>
      <c r="N37" s="13"/>
      <c r="O37" s="13"/>
      <c r="P37" s="13"/>
      <c r="S37" s="13"/>
      <c r="T37" s="13"/>
      <c r="U37" s="13" t="str">
        <f>INDEX(原始数据!$B$3:$H$26, MATCH(U$2, 原始数据!$A$3:$A$26, 0), MATCH($E37, 原始数据!$B$2:$H$2, 0))*0.8&amp;"-"&amp;INDEX(原始数据!$B$3:$H$26, MATCH(U$2, 原始数据!$A$3:$A$26, 0), MATCH($E37, 原始数据!$B$2:$H$2, 0))*0.95</f>
        <v>1.6-1.9</v>
      </c>
      <c r="V37" s="13" t="str">
        <f>INDEX(原始数据!$B$3:$H$26, MATCH(V$2, 原始数据!$A$3:$A$26, 0), MATCH($E37, 原始数据!$B$2:$H$2, 0))*0.8&amp;"-"&amp;INDEX(原始数据!$B$3:$H$26, MATCH(V$2, 原始数据!$A$3:$A$26, 0), MATCH($E37, 原始数据!$B$2:$H$2, 0))*0.95</f>
        <v>6.4-7.6</v>
      </c>
      <c r="AA37" s="13"/>
      <c r="AB37" s="13" t="str">
        <f>TEXT(INDEX(原始数据!$B$3:$H$26, MATCH(AB$2, 原始数据!$A$3:$A$26, 0), MATCH($E37, 原始数据!$B$2:$H$2, 0))*80,"0.00")&amp;"-"&amp;TEXT(INDEX(原始数据!$B$3:$H$26, MATCH(AB$2, 原始数据!$A$3:$A$26, 0), MATCH($E37, 原始数据!$B$2:$H$2, 0))*0.95,"0.00%")</f>
        <v>2.40-2.85%</v>
      </c>
      <c r="AC37" s="13" t="str">
        <f>INDEX(原始数据!$B$3:$H$26, MATCH(AC$2, 原始数据!$A$3:$A$26, 0), MATCH($E37, 原始数据!$B$2:$H$2, 0))*0.8&amp;"-"&amp;INDEX(原始数据!$B$3:$H$26, MATCH(AC$2, 原始数据!$A$3:$A$26, 0), MATCH($E37, 原始数据!$B$2:$H$2, 0))*0.95</f>
        <v>120-142.5</v>
      </c>
      <c r="AD37" s="13"/>
      <c r="AF37" s="13"/>
      <c r="AH37" s="13"/>
      <c r="AJ37" s="13"/>
      <c r="AV37" s="1" t="s">
        <v>378</v>
      </c>
    </row>
    <row r="38" spans="2:48" x14ac:dyDescent="0.2">
      <c r="B38">
        <f>ID编号[id编号]*1000+ROW()-6</f>
        <v>108032</v>
      </c>
      <c r="C38" s="1" t="s">
        <v>59</v>
      </c>
      <c r="D38">
        <v>2</v>
      </c>
      <c r="E38">
        <v>3</v>
      </c>
      <c r="F38">
        <v>0</v>
      </c>
      <c r="G38">
        <v>0</v>
      </c>
      <c r="I38" s="6"/>
      <c r="K38" s="13" t="str">
        <f>TEXT(INDEX(原始数据!$B$3:$H$26, MATCH(K$2, 原始数据!$A$3:$A$26, 0), MATCH($E38, 原始数据!$B$2:$H$2, 0))*80,"0.00")&amp;"-"&amp;TEXT(INDEX(原始数据!$B$3:$H$26, MATCH(K$2, 原始数据!$A$3:$A$26, 0), MATCH($E38, 原始数据!$B$2:$H$2, 0))*0.95,"0.00%")</f>
        <v>4.80-5.70%</v>
      </c>
      <c r="L38" s="13" t="str">
        <f>TEXT(INDEX(原始数据!$B$3:$H$26, MATCH(L$2, 原始数据!$A$3:$A$26, 0), MATCH($E38, 原始数据!$B$2:$H$2, 0))*80,"0.00")&amp;"-"&amp;TEXT(INDEX(原始数据!$B$3:$H$26, MATCH(L$2, 原始数据!$A$3:$A$26, 0), MATCH($E38, 原始数据!$B$2:$H$2, 0))*0.95,"0.00%")</f>
        <v>4.80-5.70%</v>
      </c>
      <c r="M38" s="13" t="str">
        <f>INDEX(原始数据!$B$3:$H$26, MATCH(M$2, 原始数据!$A$3:$A$26, 0), MATCH($E38, 原始数据!$B$2:$H$2, 0))*0.8&amp;"-"&amp;INDEX(原始数据!$B$3:$H$26, MATCH(M$2, 原始数据!$A$3:$A$26, 0), MATCH($E38, 原始数据!$B$2:$H$2, 0))*0.95</f>
        <v>18-21.375</v>
      </c>
      <c r="N38" s="13" t="str">
        <f>INDEX(原始数据!$B$3:$H$26, MATCH(N$2, 原始数据!$A$3:$A$26, 0), MATCH($E38, 原始数据!$B$2:$H$2, 0))*0.8&amp;"-"&amp;INDEX(原始数据!$B$3:$H$26, MATCH(N$2, 原始数据!$A$3:$A$26, 0), MATCH($E38, 原始数据!$B$2:$H$2, 0))*0.95</f>
        <v>18-21.375</v>
      </c>
      <c r="O38" s="13"/>
      <c r="P38" s="13"/>
      <c r="S38" s="13"/>
      <c r="T38" s="13"/>
      <c r="AA38" s="13"/>
      <c r="AC38" s="13"/>
      <c r="AD38" s="13"/>
      <c r="AF38" s="13"/>
      <c r="AH38" s="13"/>
      <c r="AJ38" s="13"/>
      <c r="AV38" s="1" t="s">
        <v>379</v>
      </c>
    </row>
    <row r="39" spans="2:48" x14ac:dyDescent="0.2">
      <c r="B39">
        <f>ID编号[id编号]*1000+ROW()-6</f>
        <v>108033</v>
      </c>
      <c r="C39" s="1" t="s">
        <v>45</v>
      </c>
      <c r="D39">
        <v>2</v>
      </c>
      <c r="E39">
        <v>3</v>
      </c>
      <c r="F39">
        <v>1</v>
      </c>
      <c r="G39">
        <v>0</v>
      </c>
      <c r="I39" s="6"/>
      <c r="M39" s="13"/>
      <c r="N39" s="13"/>
      <c r="O39" s="13"/>
      <c r="P39" s="13"/>
      <c r="Q39" s="13" t="str">
        <f>TEXT(INDEX(原始数据!$B$3:$H$26, MATCH(Q$2, 原始数据!$A$3:$A$26, 0), MATCH($E39, 原始数据!$B$2:$H$2, 0))*80,"0.00")&amp;"-"&amp;TEXT(INDEX(原始数据!$B$3:$H$26, MATCH(Q$2, 原始数据!$A$3:$A$26, 0), MATCH($E39, 原始数据!$B$2:$H$2, 0))*0.95,"0.00%")</f>
        <v>4.80-5.70%</v>
      </c>
      <c r="R39" s="13" t="str">
        <f>TEXT(INDEX(原始数据!$B$3:$H$26, MATCH(R$2, 原始数据!$A$3:$A$26, 0), MATCH($E39, 原始数据!$B$2:$H$2, 0))*80,"0.00")&amp;"-"&amp;TEXT(INDEX(原始数据!$B$3:$H$26, MATCH(R$2, 原始数据!$A$3:$A$26, 0), MATCH($E39, 原始数据!$B$2:$H$2, 0))*0.95,"0.00%")</f>
        <v>4.80-5.70%</v>
      </c>
      <c r="S39" s="13" t="str">
        <f>INDEX(原始数据!$B$3:$H$26, MATCH(S$2, 原始数据!$A$3:$A$26, 0), MATCH($E39, 原始数据!$B$2:$H$2, 0))*0.8&amp;"-"&amp;INDEX(原始数据!$B$3:$H$26, MATCH(S$2, 原始数据!$A$3:$A$26, 0), MATCH($E39, 原始数据!$B$2:$H$2, 0))*0.95</f>
        <v>12-14.25</v>
      </c>
      <c r="T39" s="13" t="str">
        <f>INDEX(原始数据!$B$3:$H$26, MATCH(T$2, 原始数据!$A$3:$A$26, 0), MATCH($E39, 原始数据!$B$2:$H$2, 0))*0.8&amp;"-"&amp;INDEX(原始数据!$B$3:$H$26, MATCH(T$2, 原始数据!$A$3:$A$26, 0), MATCH($E39, 原始数据!$B$2:$H$2, 0))*0.95</f>
        <v>12-14.25</v>
      </c>
      <c r="AA39" s="13"/>
      <c r="AC39" s="13"/>
      <c r="AD39" s="13"/>
      <c r="AF39" s="13"/>
      <c r="AH39" s="13"/>
      <c r="AJ39" s="13"/>
      <c r="AV39" s="1" t="s">
        <v>380</v>
      </c>
    </row>
    <row r="40" spans="2:48" x14ac:dyDescent="0.2">
      <c r="B40">
        <f>ID编号[id编号]*1000+ROW()-6</f>
        <v>108034</v>
      </c>
      <c r="C40" s="1" t="s">
        <v>52</v>
      </c>
      <c r="D40">
        <v>2</v>
      </c>
      <c r="E40">
        <v>3</v>
      </c>
      <c r="F40">
        <v>2</v>
      </c>
      <c r="G40">
        <v>0</v>
      </c>
      <c r="I40" s="6"/>
      <c r="M40" s="13"/>
      <c r="N40" s="13"/>
      <c r="O40" s="13"/>
      <c r="P40" s="13"/>
      <c r="S40" s="13"/>
      <c r="T40" s="13"/>
      <c r="U40" s="13" t="str">
        <f>INDEX(原始数据!$B$3:$H$26, MATCH(U$2, 原始数据!$A$3:$A$26, 0), MATCH($E40, 原始数据!$B$2:$H$2, 0))*0.8&amp;"-"&amp;INDEX(原始数据!$B$3:$H$26, MATCH(U$2, 原始数据!$A$3:$A$26, 0), MATCH($E40, 原始数据!$B$2:$H$2, 0))*0.95</f>
        <v>2.4-2.85</v>
      </c>
      <c r="V40" s="13" t="str">
        <f>INDEX(原始数据!$B$3:$H$26, MATCH(V$2, 原始数据!$A$3:$A$26, 0), MATCH($E40, 原始数据!$B$2:$H$2, 0))*0.8&amp;"-"&amp;INDEX(原始数据!$B$3:$H$26, MATCH(V$2, 原始数据!$A$3:$A$26, 0), MATCH($E40, 原始数据!$B$2:$H$2, 0))*0.95</f>
        <v>9.6-11.4</v>
      </c>
      <c r="AA40" s="13"/>
      <c r="AB40" s="13" t="str">
        <f>TEXT(INDEX(原始数据!$B$3:$H$26, MATCH(AB$2, 原始数据!$A$3:$A$26, 0), MATCH($E40, 原始数据!$B$2:$H$2, 0))*80,"0.00")&amp;"-"&amp;TEXT(INDEX(原始数据!$B$3:$H$26, MATCH(AB$2, 原始数据!$A$3:$A$26, 0), MATCH($E40, 原始数据!$B$2:$H$2, 0))*0.95,"0.00%")</f>
        <v>3.60-4.28%</v>
      </c>
      <c r="AC40" s="13" t="str">
        <f>INDEX(原始数据!$B$3:$H$26, MATCH(AC$2, 原始数据!$A$3:$A$26, 0), MATCH($E40, 原始数据!$B$2:$H$2, 0))*0.8&amp;"-"&amp;INDEX(原始数据!$B$3:$H$26, MATCH(AC$2, 原始数据!$A$3:$A$26, 0), MATCH($E40, 原始数据!$B$2:$H$2, 0))*0.95</f>
        <v>180-213.75</v>
      </c>
      <c r="AD40" s="13"/>
      <c r="AF40" s="13"/>
      <c r="AH40" s="13"/>
      <c r="AJ40" s="13"/>
      <c r="AV40" s="1" t="s">
        <v>381</v>
      </c>
    </row>
    <row r="41" spans="2:48" x14ac:dyDescent="0.2">
      <c r="B41">
        <f>ID编号[id编号]*1000+ROW()-6</f>
        <v>108035</v>
      </c>
      <c r="C41" s="1" t="s">
        <v>60</v>
      </c>
      <c r="D41">
        <v>2</v>
      </c>
      <c r="E41">
        <v>4</v>
      </c>
      <c r="F41">
        <v>0</v>
      </c>
      <c r="G41">
        <v>0</v>
      </c>
      <c r="I41" s="6"/>
      <c r="K41" s="13" t="str">
        <f>TEXT(INDEX(原始数据!$B$3:$H$26, MATCH(K$2, 原始数据!$A$3:$A$26, 0), MATCH($E41, 原始数据!$B$2:$H$2, 0))*80,"0.00")&amp;"-"&amp;TEXT(INDEX(原始数据!$B$3:$H$26, MATCH(K$2, 原始数据!$A$3:$A$26, 0), MATCH($E41, 原始数据!$B$2:$H$2, 0))*0.95,"0.00%")</f>
        <v>6.40-7.60%</v>
      </c>
      <c r="L41" s="13" t="str">
        <f>TEXT(INDEX(原始数据!$B$3:$H$26, MATCH(L$2, 原始数据!$A$3:$A$26, 0), MATCH($E41, 原始数据!$B$2:$H$2, 0))*80,"0.00")&amp;"-"&amp;TEXT(INDEX(原始数据!$B$3:$H$26, MATCH(L$2, 原始数据!$A$3:$A$26, 0), MATCH($E41, 原始数据!$B$2:$H$2, 0))*0.95,"0.00%")</f>
        <v>6.40-7.60%</v>
      </c>
      <c r="M41" s="13" t="str">
        <f>INDEX(原始数据!$B$3:$H$26, MATCH(M$2, 原始数据!$A$3:$A$26, 0), MATCH($E41, 原始数据!$B$2:$H$2, 0))*0.8&amp;"-"&amp;INDEX(原始数据!$B$3:$H$26, MATCH(M$2, 原始数据!$A$3:$A$26, 0), MATCH($E41, 原始数据!$B$2:$H$2, 0))*0.95</f>
        <v>24-28.5</v>
      </c>
      <c r="N41" s="13" t="str">
        <f>INDEX(原始数据!$B$3:$H$26, MATCH(N$2, 原始数据!$A$3:$A$26, 0), MATCH($E41, 原始数据!$B$2:$H$2, 0))*0.8&amp;"-"&amp;INDEX(原始数据!$B$3:$H$26, MATCH(N$2, 原始数据!$A$3:$A$26, 0), MATCH($E41, 原始数据!$B$2:$H$2, 0))*0.95</f>
        <v>24-28.5</v>
      </c>
      <c r="O41" s="13"/>
      <c r="P41" s="13"/>
      <c r="S41" s="13"/>
      <c r="T41" s="13"/>
      <c r="AA41" s="13"/>
      <c r="AC41" s="13"/>
      <c r="AD41" s="13"/>
      <c r="AF41" s="13"/>
      <c r="AH41" s="13"/>
      <c r="AJ41" s="13"/>
      <c r="AV41" s="1" t="s">
        <v>382</v>
      </c>
    </row>
    <row r="42" spans="2:48" x14ac:dyDescent="0.2">
      <c r="B42">
        <f>ID编号[id编号]*1000+ROW()-6</f>
        <v>108036</v>
      </c>
      <c r="C42" s="1" t="s">
        <v>46</v>
      </c>
      <c r="D42">
        <v>2</v>
      </c>
      <c r="E42">
        <v>4</v>
      </c>
      <c r="F42">
        <v>1</v>
      </c>
      <c r="G42">
        <v>0</v>
      </c>
      <c r="I42" s="6"/>
      <c r="M42" s="13"/>
      <c r="N42" s="13"/>
      <c r="O42" s="13"/>
      <c r="P42" s="13"/>
      <c r="Q42" s="13" t="str">
        <f>TEXT(INDEX(原始数据!$B$3:$H$26, MATCH(Q$2, 原始数据!$A$3:$A$26, 0), MATCH($E42, 原始数据!$B$2:$H$2, 0))*80,"0.00")&amp;"-"&amp;TEXT(INDEX(原始数据!$B$3:$H$26, MATCH(Q$2, 原始数据!$A$3:$A$26, 0), MATCH($E42, 原始数据!$B$2:$H$2, 0))*0.95,"0.00%")</f>
        <v>6.40-7.60%</v>
      </c>
      <c r="R42" s="13" t="str">
        <f>TEXT(INDEX(原始数据!$B$3:$H$26, MATCH(R$2, 原始数据!$A$3:$A$26, 0), MATCH($E42, 原始数据!$B$2:$H$2, 0))*80,"0.00")&amp;"-"&amp;TEXT(INDEX(原始数据!$B$3:$H$26, MATCH(R$2, 原始数据!$A$3:$A$26, 0), MATCH($E42, 原始数据!$B$2:$H$2, 0))*0.95,"0.00%")</f>
        <v>6.40-7.60%</v>
      </c>
      <c r="S42" s="13" t="str">
        <f>INDEX(原始数据!$B$3:$H$26, MATCH(S$2, 原始数据!$A$3:$A$26, 0), MATCH($E42, 原始数据!$B$2:$H$2, 0))*0.8&amp;"-"&amp;INDEX(原始数据!$B$3:$H$26, MATCH(S$2, 原始数据!$A$3:$A$26, 0), MATCH($E42, 原始数据!$B$2:$H$2, 0))*0.95</f>
        <v>16-19</v>
      </c>
      <c r="T42" s="13" t="str">
        <f>INDEX(原始数据!$B$3:$H$26, MATCH(T$2, 原始数据!$A$3:$A$26, 0), MATCH($E42, 原始数据!$B$2:$H$2, 0))*0.8&amp;"-"&amp;INDEX(原始数据!$B$3:$H$26, MATCH(T$2, 原始数据!$A$3:$A$26, 0), MATCH($E42, 原始数据!$B$2:$H$2, 0))*0.95</f>
        <v>16-19</v>
      </c>
      <c r="AA42" s="13"/>
      <c r="AC42" s="13"/>
      <c r="AD42" s="13"/>
      <c r="AF42" s="13"/>
      <c r="AH42" s="13"/>
      <c r="AJ42" s="13"/>
      <c r="AV42" s="1" t="s">
        <v>383</v>
      </c>
    </row>
    <row r="43" spans="2:48" x14ac:dyDescent="0.2">
      <c r="B43">
        <f>ID编号[id编号]*1000+ROW()-6</f>
        <v>108037</v>
      </c>
      <c r="C43" s="1" t="s">
        <v>53</v>
      </c>
      <c r="D43">
        <v>2</v>
      </c>
      <c r="E43">
        <v>4</v>
      </c>
      <c r="F43">
        <v>2</v>
      </c>
      <c r="G43">
        <v>0</v>
      </c>
      <c r="I43" s="6"/>
      <c r="M43" s="13"/>
      <c r="N43" s="13"/>
      <c r="O43" s="13"/>
      <c r="P43" s="13"/>
      <c r="S43" s="13"/>
      <c r="T43" s="13"/>
      <c r="U43" s="13" t="str">
        <f>INDEX(原始数据!$B$3:$H$26, MATCH(U$2, 原始数据!$A$3:$A$26, 0), MATCH($E43, 原始数据!$B$2:$H$2, 0))*0.8&amp;"-"&amp;INDEX(原始数据!$B$3:$H$26, MATCH(U$2, 原始数据!$A$3:$A$26, 0), MATCH($E43, 原始数据!$B$2:$H$2, 0))*0.95</f>
        <v>3.2-3.8</v>
      </c>
      <c r="V43" s="13" t="str">
        <f>INDEX(原始数据!$B$3:$H$26, MATCH(V$2, 原始数据!$A$3:$A$26, 0), MATCH($E43, 原始数据!$B$2:$H$2, 0))*0.8&amp;"-"&amp;INDEX(原始数据!$B$3:$H$26, MATCH(V$2, 原始数据!$A$3:$A$26, 0), MATCH($E43, 原始数据!$B$2:$H$2, 0))*0.95</f>
        <v>12.8-15.2</v>
      </c>
      <c r="AA43" s="13"/>
      <c r="AB43" s="13" t="str">
        <f>TEXT(INDEX(原始数据!$B$3:$H$26, MATCH(AB$2, 原始数据!$A$3:$A$26, 0), MATCH($E43, 原始数据!$B$2:$H$2, 0))*80,"0.00")&amp;"-"&amp;TEXT(INDEX(原始数据!$B$3:$H$26, MATCH(AB$2, 原始数据!$A$3:$A$26, 0), MATCH($E43, 原始数据!$B$2:$H$2, 0))*0.95,"0.00%")</f>
        <v>4.80-5.70%</v>
      </c>
      <c r="AC43" s="13" t="str">
        <f>INDEX(原始数据!$B$3:$H$26, MATCH(AC$2, 原始数据!$A$3:$A$26, 0), MATCH($E43, 原始数据!$B$2:$H$2, 0))*0.8&amp;"-"&amp;INDEX(原始数据!$B$3:$H$26, MATCH(AC$2, 原始数据!$A$3:$A$26, 0), MATCH($E43, 原始数据!$B$2:$H$2, 0))*0.95</f>
        <v>240-285</v>
      </c>
      <c r="AD43" s="13"/>
      <c r="AF43" s="13"/>
      <c r="AH43" s="13"/>
      <c r="AJ43" s="13"/>
      <c r="AV43" s="1" t="s">
        <v>384</v>
      </c>
    </row>
    <row r="44" spans="2:48" x14ac:dyDescent="0.2">
      <c r="B44">
        <f>ID编号[id编号]*1000+ROW()-6</f>
        <v>108038</v>
      </c>
      <c r="C44" s="1" t="s">
        <v>61</v>
      </c>
      <c r="D44">
        <v>2</v>
      </c>
      <c r="E44">
        <v>5</v>
      </c>
      <c r="F44">
        <v>0</v>
      </c>
      <c r="G44">
        <v>0</v>
      </c>
      <c r="I44" s="6"/>
      <c r="K44" s="13" t="str">
        <f>TEXT(INDEX(原始数据!$B$3:$H$26, MATCH(K$2, 原始数据!$A$3:$A$26, 0), MATCH($E44, 原始数据!$B$2:$H$2, 0))*80,"0.00")&amp;"-"&amp;TEXT(INDEX(原始数据!$B$3:$H$26, MATCH(K$2, 原始数据!$A$3:$A$26, 0), MATCH($E44, 原始数据!$B$2:$H$2, 0))*0.95,"0.00%")</f>
        <v>8.00-9.50%</v>
      </c>
      <c r="L44" s="13" t="str">
        <f>TEXT(INDEX(原始数据!$B$3:$H$26, MATCH(L$2, 原始数据!$A$3:$A$26, 0), MATCH($E44, 原始数据!$B$2:$H$2, 0))*80,"0.00")&amp;"-"&amp;TEXT(INDEX(原始数据!$B$3:$H$26, MATCH(L$2, 原始数据!$A$3:$A$26, 0), MATCH($E44, 原始数据!$B$2:$H$2, 0))*0.95,"0.00%")</f>
        <v>8.00-9.50%</v>
      </c>
      <c r="M44" s="13" t="str">
        <f>INDEX(原始数据!$B$3:$H$26, MATCH(M$2, 原始数据!$A$3:$A$26, 0), MATCH($E44, 原始数据!$B$2:$H$2, 0))*0.8&amp;"-"&amp;INDEX(原始数据!$B$3:$H$26, MATCH(M$2, 原始数据!$A$3:$A$26, 0), MATCH($E44, 原始数据!$B$2:$H$2, 0))*0.95</f>
        <v>30-35.625</v>
      </c>
      <c r="N44" s="13" t="str">
        <f>INDEX(原始数据!$B$3:$H$26, MATCH(N$2, 原始数据!$A$3:$A$26, 0), MATCH($E44, 原始数据!$B$2:$H$2, 0))*0.8&amp;"-"&amp;INDEX(原始数据!$B$3:$H$26, MATCH(N$2, 原始数据!$A$3:$A$26, 0), MATCH($E44, 原始数据!$B$2:$H$2, 0))*0.95</f>
        <v>30-35.625</v>
      </c>
      <c r="O44" s="13"/>
      <c r="P44" s="13"/>
      <c r="S44" s="13"/>
      <c r="T44" s="13"/>
      <c r="AA44" s="13"/>
      <c r="AC44" s="13"/>
      <c r="AD44" s="13"/>
      <c r="AF44" s="13"/>
      <c r="AH44" s="13"/>
      <c r="AJ44" s="13"/>
      <c r="AV44" s="1" t="s">
        <v>385</v>
      </c>
    </row>
    <row r="45" spans="2:48" x14ac:dyDescent="0.2">
      <c r="B45">
        <f>ID编号[id编号]*1000+ROW()-6</f>
        <v>108039</v>
      </c>
      <c r="C45" s="1" t="s">
        <v>47</v>
      </c>
      <c r="D45">
        <v>2</v>
      </c>
      <c r="E45">
        <v>5</v>
      </c>
      <c r="F45">
        <v>1</v>
      </c>
      <c r="G45">
        <v>0</v>
      </c>
      <c r="I45" s="6"/>
      <c r="M45" s="13"/>
      <c r="N45" s="13"/>
      <c r="O45" s="13"/>
      <c r="P45" s="13"/>
      <c r="Q45" s="13" t="str">
        <f>TEXT(INDEX(原始数据!$B$3:$H$26, MATCH(Q$2, 原始数据!$A$3:$A$26, 0), MATCH($E45, 原始数据!$B$2:$H$2, 0))*80,"0.00")&amp;"-"&amp;TEXT(INDEX(原始数据!$B$3:$H$26, MATCH(Q$2, 原始数据!$A$3:$A$26, 0), MATCH($E45, 原始数据!$B$2:$H$2, 0))*0.95,"0.00%")</f>
        <v>8.00-9.50%</v>
      </c>
      <c r="R45" s="13" t="str">
        <f>TEXT(INDEX(原始数据!$B$3:$H$26, MATCH(R$2, 原始数据!$A$3:$A$26, 0), MATCH($E45, 原始数据!$B$2:$H$2, 0))*80,"0.00")&amp;"-"&amp;TEXT(INDEX(原始数据!$B$3:$H$26, MATCH(R$2, 原始数据!$A$3:$A$26, 0), MATCH($E45, 原始数据!$B$2:$H$2, 0))*0.95,"0.00%")</f>
        <v>8.00-9.50%</v>
      </c>
      <c r="S45" s="13" t="str">
        <f>INDEX(原始数据!$B$3:$H$26, MATCH(S$2, 原始数据!$A$3:$A$26, 0), MATCH($E45, 原始数据!$B$2:$H$2, 0))*0.8&amp;"-"&amp;INDEX(原始数据!$B$3:$H$26, MATCH(S$2, 原始数据!$A$3:$A$26, 0), MATCH($E45, 原始数据!$B$2:$H$2, 0))*0.95</f>
        <v>20-23.75</v>
      </c>
      <c r="T45" s="13" t="str">
        <f>INDEX(原始数据!$B$3:$H$26, MATCH(T$2, 原始数据!$A$3:$A$26, 0), MATCH($E45, 原始数据!$B$2:$H$2, 0))*0.8&amp;"-"&amp;INDEX(原始数据!$B$3:$H$26, MATCH(T$2, 原始数据!$A$3:$A$26, 0), MATCH($E45, 原始数据!$B$2:$H$2, 0))*0.95</f>
        <v>20-23.75</v>
      </c>
      <c r="AA45" s="13"/>
      <c r="AC45" s="13"/>
      <c r="AD45" s="13"/>
      <c r="AF45" s="13"/>
      <c r="AH45" s="13"/>
      <c r="AJ45" s="13"/>
      <c r="AV45" s="1" t="s">
        <v>386</v>
      </c>
    </row>
    <row r="46" spans="2:48" x14ac:dyDescent="0.2">
      <c r="B46">
        <f>ID编号[id编号]*1000+ROW()-6</f>
        <v>108040</v>
      </c>
      <c r="C46" s="1" t="s">
        <v>54</v>
      </c>
      <c r="D46">
        <v>2</v>
      </c>
      <c r="E46">
        <v>5</v>
      </c>
      <c r="F46">
        <v>2</v>
      </c>
      <c r="G46">
        <v>0</v>
      </c>
      <c r="I46" s="6"/>
      <c r="M46" s="13"/>
      <c r="N46" s="13"/>
      <c r="O46" s="13"/>
      <c r="P46" s="13"/>
      <c r="S46" s="13"/>
      <c r="T46" s="13"/>
      <c r="U46" s="13" t="str">
        <f>INDEX(原始数据!$B$3:$H$26, MATCH(U$2, 原始数据!$A$3:$A$26, 0), MATCH($E46, 原始数据!$B$2:$H$2, 0))*0.8&amp;"-"&amp;INDEX(原始数据!$B$3:$H$26, MATCH(U$2, 原始数据!$A$3:$A$26, 0), MATCH($E46, 原始数据!$B$2:$H$2, 0))*0.95</f>
        <v>4-4.75</v>
      </c>
      <c r="V46" s="13" t="str">
        <f>INDEX(原始数据!$B$3:$H$26, MATCH(V$2, 原始数据!$A$3:$A$26, 0), MATCH($E46, 原始数据!$B$2:$H$2, 0))*0.8&amp;"-"&amp;INDEX(原始数据!$B$3:$H$26, MATCH(V$2, 原始数据!$A$3:$A$26, 0), MATCH($E46, 原始数据!$B$2:$H$2, 0))*0.95</f>
        <v>16-19</v>
      </c>
      <c r="AA46" s="13"/>
      <c r="AB46" s="13" t="str">
        <f>TEXT(INDEX(原始数据!$B$3:$H$26, MATCH(AB$2, 原始数据!$A$3:$A$26, 0), MATCH($E46, 原始数据!$B$2:$H$2, 0))*80,"0.00")&amp;"-"&amp;TEXT(INDEX(原始数据!$B$3:$H$26, MATCH(AB$2, 原始数据!$A$3:$A$26, 0), MATCH($E46, 原始数据!$B$2:$H$2, 0))*0.95,"0.00%")</f>
        <v>6.00-7.13%</v>
      </c>
      <c r="AC46" s="13" t="str">
        <f>INDEX(原始数据!$B$3:$H$26, MATCH(AC$2, 原始数据!$A$3:$A$26, 0), MATCH($E46, 原始数据!$B$2:$H$2, 0))*0.8&amp;"-"&amp;INDEX(原始数据!$B$3:$H$26, MATCH(AC$2, 原始数据!$A$3:$A$26, 0), MATCH($E46, 原始数据!$B$2:$H$2, 0))*0.95</f>
        <v>300-356.25</v>
      </c>
      <c r="AD46" s="13"/>
      <c r="AF46" s="13"/>
      <c r="AH46" s="13"/>
      <c r="AJ46" s="13"/>
      <c r="AV46" s="1" t="s">
        <v>387</v>
      </c>
    </row>
    <row r="47" spans="2:48" x14ac:dyDescent="0.2">
      <c r="B47">
        <f>ID编号[id编号]*1000+ROW()-6</f>
        <v>108041</v>
      </c>
      <c r="C47" s="1" t="s">
        <v>62</v>
      </c>
      <c r="D47">
        <v>2</v>
      </c>
      <c r="E47">
        <v>6</v>
      </c>
      <c r="F47">
        <v>0</v>
      </c>
      <c r="G47">
        <v>0</v>
      </c>
      <c r="I47" s="6"/>
      <c r="K47" s="13" t="str">
        <f>TEXT(INDEX(原始数据!$B$3:$H$26, MATCH(K$2, 原始数据!$A$3:$A$26, 0), MATCH($E47, 原始数据!$B$2:$H$2, 0))*80,"0.00")&amp;"-"&amp;TEXT(INDEX(原始数据!$B$3:$H$26, MATCH(K$2, 原始数据!$A$3:$A$26, 0), MATCH($E47, 原始数据!$B$2:$H$2, 0))*0.95,"0.00%")</f>
        <v>9.60-11.40%</v>
      </c>
      <c r="L47" s="13" t="str">
        <f>TEXT(INDEX(原始数据!$B$3:$H$26, MATCH(L$2, 原始数据!$A$3:$A$26, 0), MATCH($E47, 原始数据!$B$2:$H$2, 0))*80,"0.00")&amp;"-"&amp;TEXT(INDEX(原始数据!$B$3:$H$26, MATCH(L$2, 原始数据!$A$3:$A$26, 0), MATCH($E47, 原始数据!$B$2:$H$2, 0))*0.95,"0.00%")</f>
        <v>9.60-11.40%</v>
      </c>
      <c r="M47" s="13" t="str">
        <f>INDEX(原始数据!$B$3:$H$26, MATCH(M$2, 原始数据!$A$3:$A$26, 0), MATCH($E47, 原始数据!$B$2:$H$2, 0))*0.8&amp;"-"&amp;INDEX(原始数据!$B$3:$H$26, MATCH(M$2, 原始数据!$A$3:$A$26, 0), MATCH($E47, 原始数据!$B$2:$H$2, 0))*0.95</f>
        <v>36-42.75</v>
      </c>
      <c r="N47" s="13" t="str">
        <f>INDEX(原始数据!$B$3:$H$26, MATCH(N$2, 原始数据!$A$3:$A$26, 0), MATCH($E47, 原始数据!$B$2:$H$2, 0))*0.8&amp;"-"&amp;INDEX(原始数据!$B$3:$H$26, MATCH(N$2, 原始数据!$A$3:$A$26, 0), MATCH($E47, 原始数据!$B$2:$H$2, 0))*0.95</f>
        <v>36-42.75</v>
      </c>
      <c r="O47" s="13"/>
      <c r="P47" s="13"/>
      <c r="S47" s="13"/>
      <c r="T47" s="13"/>
      <c r="AA47" s="13"/>
      <c r="AC47" s="13"/>
      <c r="AD47" s="13"/>
      <c r="AF47" s="13"/>
      <c r="AH47" s="13"/>
      <c r="AJ47" s="13"/>
      <c r="AV47" s="1" t="s">
        <v>388</v>
      </c>
    </row>
    <row r="48" spans="2:48" x14ac:dyDescent="0.2">
      <c r="B48">
        <f>ID编号[id编号]*1000+ROW()-6</f>
        <v>108042</v>
      </c>
      <c r="C48" s="1" t="s">
        <v>48</v>
      </c>
      <c r="D48">
        <v>2</v>
      </c>
      <c r="E48">
        <v>6</v>
      </c>
      <c r="F48">
        <v>1</v>
      </c>
      <c r="G48">
        <v>0</v>
      </c>
      <c r="I48" s="6"/>
      <c r="M48" s="13"/>
      <c r="N48" s="13"/>
      <c r="O48" s="13"/>
      <c r="P48" s="13"/>
      <c r="Q48" s="13" t="str">
        <f>TEXT(INDEX(原始数据!$B$3:$H$26, MATCH(Q$2, 原始数据!$A$3:$A$26, 0), MATCH($E48, 原始数据!$B$2:$H$2, 0))*80,"0.00")&amp;"-"&amp;TEXT(INDEX(原始数据!$B$3:$H$26, MATCH(Q$2, 原始数据!$A$3:$A$26, 0), MATCH($E48, 原始数据!$B$2:$H$2, 0))*0.95,"0.00%")</f>
        <v>9.60-11.40%</v>
      </c>
      <c r="R48" s="13" t="str">
        <f>TEXT(INDEX(原始数据!$B$3:$H$26, MATCH(R$2, 原始数据!$A$3:$A$26, 0), MATCH($E48, 原始数据!$B$2:$H$2, 0))*80,"0.00")&amp;"-"&amp;TEXT(INDEX(原始数据!$B$3:$H$26, MATCH(R$2, 原始数据!$A$3:$A$26, 0), MATCH($E48, 原始数据!$B$2:$H$2, 0))*0.95,"0.00%")</f>
        <v>9.60-11.40%</v>
      </c>
      <c r="S48" s="13" t="str">
        <f>INDEX(原始数据!$B$3:$H$26, MATCH(S$2, 原始数据!$A$3:$A$26, 0), MATCH($E48, 原始数据!$B$2:$H$2, 0))*0.8&amp;"-"&amp;INDEX(原始数据!$B$3:$H$26, MATCH(S$2, 原始数据!$A$3:$A$26, 0), MATCH($E48, 原始数据!$B$2:$H$2, 0))*0.95</f>
        <v>24-28.5</v>
      </c>
      <c r="T48" s="13" t="str">
        <f>INDEX(原始数据!$B$3:$H$26, MATCH(T$2, 原始数据!$A$3:$A$26, 0), MATCH($E48, 原始数据!$B$2:$H$2, 0))*0.8&amp;"-"&amp;INDEX(原始数据!$B$3:$H$26, MATCH(T$2, 原始数据!$A$3:$A$26, 0), MATCH($E48, 原始数据!$B$2:$H$2, 0))*0.95</f>
        <v>24-28.5</v>
      </c>
      <c r="AA48" s="13"/>
      <c r="AC48" s="13"/>
      <c r="AD48" s="13"/>
      <c r="AF48" s="13"/>
      <c r="AH48" s="13"/>
      <c r="AJ48" s="13"/>
      <c r="AV48" s="1" t="s">
        <v>389</v>
      </c>
    </row>
    <row r="49" spans="2:48" x14ac:dyDescent="0.2">
      <c r="B49">
        <f>ID编号[id编号]*1000+ROW()-6</f>
        <v>108043</v>
      </c>
      <c r="C49" s="1" t="s">
        <v>55</v>
      </c>
      <c r="D49">
        <v>2</v>
      </c>
      <c r="E49">
        <v>6</v>
      </c>
      <c r="F49">
        <v>2</v>
      </c>
      <c r="G49">
        <v>0</v>
      </c>
      <c r="I49" s="6"/>
      <c r="M49" s="13"/>
      <c r="N49" s="13"/>
      <c r="O49" s="13"/>
      <c r="P49" s="13"/>
      <c r="S49" s="13"/>
      <c r="T49" s="13"/>
      <c r="U49" s="13" t="str">
        <f>INDEX(原始数据!$B$3:$H$26, MATCH(U$2, 原始数据!$A$3:$A$26, 0), MATCH($E49, 原始数据!$B$2:$H$2, 0))*0.8&amp;"-"&amp;INDEX(原始数据!$B$3:$H$26, MATCH(U$2, 原始数据!$A$3:$A$26, 0), MATCH($E49, 原始数据!$B$2:$H$2, 0))*0.95</f>
        <v>4.8-5.7</v>
      </c>
      <c r="V49" s="13" t="str">
        <f>INDEX(原始数据!$B$3:$H$26, MATCH(V$2, 原始数据!$A$3:$A$26, 0), MATCH($E49, 原始数据!$B$2:$H$2, 0))*0.8&amp;"-"&amp;INDEX(原始数据!$B$3:$H$26, MATCH(V$2, 原始数据!$A$3:$A$26, 0), MATCH($E49, 原始数据!$B$2:$H$2, 0))*0.95</f>
        <v>19.2-22.8</v>
      </c>
      <c r="AA49" s="13"/>
      <c r="AB49" s="13" t="str">
        <f>TEXT(INDEX(原始数据!$B$3:$H$26, MATCH(AB$2, 原始数据!$A$3:$A$26, 0), MATCH($E49, 原始数据!$B$2:$H$2, 0))*80,"0.00")&amp;"-"&amp;TEXT(INDEX(原始数据!$B$3:$H$26, MATCH(AB$2, 原始数据!$A$3:$A$26, 0), MATCH($E49, 原始数据!$B$2:$H$2, 0))*0.95,"0.00%")</f>
        <v>7.20-8.55%</v>
      </c>
      <c r="AC49" s="13" t="str">
        <f>INDEX(原始数据!$B$3:$H$26, MATCH(AC$2, 原始数据!$A$3:$A$26, 0), MATCH($E49, 原始数据!$B$2:$H$2, 0))*0.8&amp;"-"&amp;INDEX(原始数据!$B$3:$H$26, MATCH(AC$2, 原始数据!$A$3:$A$26, 0), MATCH($E49, 原始数据!$B$2:$H$2, 0))*0.95</f>
        <v>360-427.5</v>
      </c>
      <c r="AD49" s="13"/>
      <c r="AF49" s="13"/>
      <c r="AH49" s="13"/>
      <c r="AJ49" s="13"/>
      <c r="AV49" s="1" t="s">
        <v>390</v>
      </c>
    </row>
    <row r="50" spans="2:48" x14ac:dyDescent="0.2">
      <c r="B50">
        <f>ID编号[id编号]*1000+ROW()-6</f>
        <v>108044</v>
      </c>
      <c r="C50" s="1" t="s">
        <v>63</v>
      </c>
      <c r="D50">
        <v>2</v>
      </c>
      <c r="E50">
        <v>7</v>
      </c>
      <c r="F50">
        <v>0</v>
      </c>
      <c r="G50">
        <v>0</v>
      </c>
      <c r="I50" s="6"/>
      <c r="K50" s="13" t="str">
        <f>TEXT(INDEX(原始数据!$B$3:$H$26, MATCH(K$2, 原始数据!$A$3:$A$26, 0), MATCH($E50, 原始数据!$B$2:$H$2, 0))*82,"0.00")&amp;"-"&amp;TEXT(INDEX(原始数据!$B$3:$H$26, MATCH(K$2, 原始数据!$A$3:$A$26, 0), MATCH($E50, 原始数据!$B$2:$H$2, 0))*0.95,"0.00%")</f>
        <v>10.66-12.35%</v>
      </c>
      <c r="L50" s="13" t="str">
        <f>TEXT(INDEX(原始数据!$B$3:$H$26, MATCH(L$2, 原始数据!$A$3:$A$26, 0), MATCH($E50, 原始数据!$B$2:$H$2, 0))*80,"0.00")&amp;"-"&amp;TEXT(INDEX(原始数据!$B$3:$H$26, MATCH(L$2, 原始数据!$A$3:$A$26, 0), MATCH($E50, 原始数据!$B$2:$H$2, 0))*0.95,"0.00%")</f>
        <v>10.40-12.35%</v>
      </c>
      <c r="M50" s="13" t="str">
        <f>INDEX(原始数据!$B$3:$H$26, MATCH(M$2, 原始数据!$A$3:$A$26, 0), MATCH($E50, 原始数据!$B$2:$H$2, 0))*0.8&amp;"-"&amp;INDEX(原始数据!$B$3:$H$26, MATCH(M$2, 原始数据!$A$3:$A$26, 0), MATCH($E50, 原始数据!$B$2:$H$2, 0))*0.95</f>
        <v>39-46.3125</v>
      </c>
      <c r="N50" s="13" t="str">
        <f>INDEX(原始数据!$B$3:$H$26, MATCH(N$2, 原始数据!$A$3:$A$26, 0), MATCH($E50, 原始数据!$B$2:$H$2, 0))*0.8&amp;"-"&amp;INDEX(原始数据!$B$3:$H$26, MATCH(N$2, 原始数据!$A$3:$A$26, 0), MATCH($E50, 原始数据!$B$2:$H$2, 0))*0.95</f>
        <v>39-46.3125</v>
      </c>
      <c r="O50" s="13"/>
      <c r="P50" s="13"/>
      <c r="S50" s="13"/>
      <c r="T50" s="13"/>
      <c r="AA50" s="13"/>
      <c r="AC50" s="13"/>
      <c r="AD50" s="13"/>
      <c r="AF50" s="13"/>
      <c r="AH50" s="13"/>
      <c r="AJ50" s="13"/>
      <c r="AV50" s="1" t="s">
        <v>391</v>
      </c>
    </row>
    <row r="51" spans="2:48" x14ac:dyDescent="0.2">
      <c r="B51">
        <f>ID编号[id编号]*1000+ROW()-6</f>
        <v>108045</v>
      </c>
      <c r="C51" s="1" t="s">
        <v>49</v>
      </c>
      <c r="D51">
        <v>2</v>
      </c>
      <c r="E51">
        <v>7</v>
      </c>
      <c r="F51">
        <v>1</v>
      </c>
      <c r="G51">
        <v>0</v>
      </c>
      <c r="I51" s="6"/>
      <c r="M51" s="13"/>
      <c r="N51" s="13"/>
      <c r="O51" s="13"/>
      <c r="P51" s="13"/>
      <c r="Q51" s="13" t="str">
        <f>TEXT(INDEX(原始数据!$B$3:$H$26, MATCH(Q$2, 原始数据!$A$3:$A$26, 0), MATCH($E51, 原始数据!$B$2:$H$2, 0))*80,"0.00")&amp;"-"&amp;TEXT(INDEX(原始数据!$B$3:$H$26, MATCH(Q$2, 原始数据!$A$3:$A$26, 0), MATCH($E51, 原始数据!$B$2:$H$2, 0))*0.95,"0.00%")</f>
        <v>10.40-12.35%</v>
      </c>
      <c r="R51" s="13" t="str">
        <f>TEXT(INDEX(原始数据!$B$3:$H$26, MATCH(R$2, 原始数据!$A$3:$A$26, 0), MATCH($E51, 原始数据!$B$2:$H$2, 0))*80,"0.00")&amp;"-"&amp;TEXT(INDEX(原始数据!$B$3:$H$26, MATCH(R$2, 原始数据!$A$3:$A$26, 0), MATCH($E51, 原始数据!$B$2:$H$2, 0))*0.95,"0.00%")</f>
        <v>10.40-12.35%</v>
      </c>
      <c r="S51" s="13" t="str">
        <f>INDEX(原始数据!$B$3:$H$26, MATCH(S$2, 原始数据!$A$3:$A$26, 0), MATCH($E51, 原始数据!$B$2:$H$2, 0))*0.8&amp;"-"&amp;INDEX(原始数据!$B$3:$H$26, MATCH(S$2, 原始数据!$A$3:$A$26, 0), MATCH($E51, 原始数据!$B$2:$H$2, 0))*0.95</f>
        <v>26-30.875</v>
      </c>
      <c r="T51" s="13" t="str">
        <f>INDEX(原始数据!$B$3:$H$26, MATCH(T$2, 原始数据!$A$3:$A$26, 0), MATCH($E51, 原始数据!$B$2:$H$2, 0))*0.8&amp;"-"&amp;INDEX(原始数据!$B$3:$H$26, MATCH(T$2, 原始数据!$A$3:$A$26, 0), MATCH($E51, 原始数据!$B$2:$H$2, 0))*0.95</f>
        <v>26-30.875</v>
      </c>
      <c r="AA51" s="13"/>
      <c r="AC51" s="13"/>
      <c r="AD51" s="13"/>
      <c r="AF51" s="13"/>
      <c r="AH51" s="13"/>
      <c r="AJ51" s="13"/>
      <c r="AV51" s="1" t="s">
        <v>392</v>
      </c>
    </row>
    <row r="52" spans="2:48" x14ac:dyDescent="0.2">
      <c r="B52">
        <f>ID编号[id编号]*1000+ROW()-6</f>
        <v>108046</v>
      </c>
      <c r="C52" s="1" t="s">
        <v>56</v>
      </c>
      <c r="D52">
        <v>2</v>
      </c>
      <c r="E52">
        <v>7</v>
      </c>
      <c r="F52">
        <v>2</v>
      </c>
      <c r="G52">
        <v>0</v>
      </c>
      <c r="I52" s="6"/>
      <c r="M52" s="13"/>
      <c r="N52" s="13"/>
      <c r="O52" s="13"/>
      <c r="P52" s="13"/>
      <c r="S52" s="13"/>
      <c r="T52" s="13"/>
      <c r="U52" s="13" t="str">
        <f>INDEX(原始数据!$B$3:$H$26, MATCH(U$2, 原始数据!$A$3:$A$26, 0), MATCH($E52, 原始数据!$B$2:$H$2, 0))*0.8&amp;"-"&amp;INDEX(原始数据!$B$3:$H$26, MATCH(U$2, 原始数据!$A$3:$A$26, 0), MATCH($E52, 原始数据!$B$2:$H$2, 0))*0.95</f>
        <v>5.2-6.175</v>
      </c>
      <c r="V52" s="13" t="str">
        <f>INDEX(原始数据!$B$3:$H$26, MATCH(V$2, 原始数据!$A$3:$A$26, 0), MATCH($E52, 原始数据!$B$2:$H$2, 0))*0.8&amp;"-"&amp;INDEX(原始数据!$B$3:$H$26, MATCH(V$2, 原始数据!$A$3:$A$26, 0), MATCH($E52, 原始数据!$B$2:$H$2, 0))*0.95</f>
        <v>20.8-24.7</v>
      </c>
      <c r="AA52" s="13"/>
      <c r="AB52" s="13" t="str">
        <f>TEXT(INDEX(原始数据!$B$3:$H$26, MATCH(AB$2, 原始数据!$A$3:$A$26, 0), MATCH($E52, 原始数据!$B$2:$H$2, 0))*80,"0.00")&amp;"-"&amp;TEXT(INDEX(原始数据!$B$3:$H$26, MATCH(AB$2, 原始数据!$A$3:$A$26, 0), MATCH($E52, 原始数据!$B$2:$H$2, 0))*0.95,"0.00%")</f>
        <v>7.80-9.26%</v>
      </c>
      <c r="AC52" s="13" t="str">
        <f>INDEX(原始数据!$B$3:$H$26, MATCH(AC$2, 原始数据!$A$3:$A$26, 0), MATCH($E52, 原始数据!$B$2:$H$2, 0))*0.8&amp;"-"&amp;INDEX(原始数据!$B$3:$H$26, MATCH(AC$2, 原始数据!$A$3:$A$26, 0), MATCH($E52, 原始数据!$B$2:$H$2, 0))*0.95</f>
        <v>390-463.125</v>
      </c>
      <c r="AD52" s="13"/>
      <c r="AF52" s="13"/>
      <c r="AH52" s="13"/>
      <c r="AJ52" s="13"/>
      <c r="AV52" s="1" t="s">
        <v>393</v>
      </c>
    </row>
    <row r="53" spans="2:48" x14ac:dyDescent="0.2">
      <c r="B53">
        <f>ID编号[id编号]*1000+ROW()-6</f>
        <v>108047</v>
      </c>
      <c r="C53" s="1" t="s">
        <v>79</v>
      </c>
      <c r="D53">
        <v>3</v>
      </c>
      <c r="E53">
        <v>1</v>
      </c>
      <c r="F53">
        <v>3</v>
      </c>
      <c r="G53">
        <v>0</v>
      </c>
      <c r="I53" s="6"/>
      <c r="M53" s="13"/>
      <c r="N53" s="13"/>
      <c r="O53" s="13"/>
      <c r="P53" s="13"/>
      <c r="S53" s="13"/>
      <c r="T53" s="13"/>
      <c r="AA53" s="13"/>
      <c r="AC53" s="13"/>
      <c r="AD53" s="13"/>
      <c r="AF53" s="13" t="str">
        <f>INDEX(原始数据!$B$3:$H$26, MATCH(AF$2, 原始数据!$A$3:$A$26, 0), MATCH($E53, 原始数据!$B$2:$H$2, 0))*0.8&amp;"-"&amp;INDEX(原始数据!$B$3:$H$26, MATCH(AF$2, 原始数据!$A$3:$A$26, 0), MATCH($E53, 原始数据!$B$2:$H$2, 0))*0.95</f>
        <v>0.6-0.7125</v>
      </c>
      <c r="AG53" s="13" t="str">
        <f>TEXT(INDEX(原始数据!$B$3:$H$26, MATCH(AG$2, 原始数据!$A$3:$A$26, 0), MATCH($E53, 原始数据!$B$2:$H$2, 0))*80,"0.00")&amp;"-"&amp;TEXT(INDEX(原始数据!$B$3:$H$26, MATCH(AG$2, 原始数据!$A$3:$A$26, 0), MATCH($E53, 原始数据!$B$2:$H$2, 0))*0.95,"0.00%")</f>
        <v>12.00-14.25%</v>
      </c>
      <c r="AH53" s="13"/>
      <c r="AJ53" s="13" t="str">
        <f>INDEX(原始数据!$B$3:$H$26, MATCH(AJ$2, 原始数据!$A$3:$A$26, 0), MATCH($E53, 原始数据!$B$2:$H$2, 0))*0.8&amp;"-"&amp;INDEX(原始数据!$B$3:$H$26, MATCH(AJ$2, 原始数据!$A$3:$A$26, 0), MATCH($E53, 原始数据!$B$2:$H$2, 0))*0.95</f>
        <v>0.6-0.7125</v>
      </c>
      <c r="AK53" s="13" t="str">
        <f>TEXT(INDEX(原始数据!$B$3:$H$26, MATCH(AK$2, 原始数据!$A$3:$A$26, 0), MATCH($E53, 原始数据!$B$2:$H$2, 0))*80,"0.00")&amp;"-"&amp;TEXT(INDEX(原始数据!$B$3:$H$26, MATCH(AK$2, 原始数据!$A$3:$A$26, 0), MATCH($E53, 原始数据!$B$2:$H$2, 0))*0.95,"0.00%")</f>
        <v>12.00-14.25%</v>
      </c>
      <c r="AV53" s="1" t="s">
        <v>394</v>
      </c>
    </row>
    <row r="54" spans="2:48" x14ac:dyDescent="0.2">
      <c r="B54">
        <f>ID编号[id编号]*1000+ROW()-6</f>
        <v>108048</v>
      </c>
      <c r="C54" s="1" t="s">
        <v>71</v>
      </c>
      <c r="D54">
        <v>3</v>
      </c>
      <c r="E54">
        <v>1</v>
      </c>
      <c r="F54">
        <v>4</v>
      </c>
      <c r="G54">
        <v>0</v>
      </c>
      <c r="I54" s="6"/>
      <c r="M54" s="13"/>
      <c r="N54" s="13"/>
      <c r="O54" s="13"/>
      <c r="P54" s="13"/>
      <c r="S54" s="13"/>
      <c r="T54" s="13"/>
      <c r="W54" s="13" t="str">
        <f>TEXT(INDEX(原始数据!$B$3:$H$26, MATCH(W$2, 原始数据!$A$3:$A$26, 0), MATCH($E54, 原始数据!$B$2:$H$2, 0))*80,"0.00")&amp;"-"&amp;TEXT(INDEX(原始数据!$B$3:$H$26, MATCH(W$2, 原始数据!$A$3:$A$26, 0), MATCH($E54, 原始数据!$B$2:$H$2, 0))*0.95,"0.00%")</f>
        <v>0.80-0.95%</v>
      </c>
      <c r="X54" s="13" t="str">
        <f>TEXT(INDEX(原始数据!$B$3:$H$26, MATCH(X$2, 原始数据!$A$3:$A$26, 0), MATCH($E54, 原始数据!$B$2:$H$2, 0))*80,"0.00")&amp;"-"&amp;TEXT(INDEX(原始数据!$B$3:$H$26, MATCH(X$2, 原始数据!$A$3:$A$26, 0), MATCH($E54, 原始数据!$B$2:$H$2, 0))*0.95,"0.00%")</f>
        <v>0.80-0.95%</v>
      </c>
      <c r="Y54" s="13" t="str">
        <f>TEXT(INDEX(原始数据!$B$3:$H$26, MATCH(Y$2, 原始数据!$A$3:$A$26, 0), MATCH($E54, 原始数据!$B$2:$H$2, 0))*80,"0.00")&amp;"-"&amp;TEXT(INDEX(原始数据!$B$3:$H$26, MATCH(Y$2, 原始数据!$A$3:$A$26, 0), MATCH($E54, 原始数据!$B$2:$H$2, 0))*0.95,"0.00%")</f>
        <v>1.00-1.19%</v>
      </c>
      <c r="Z54" s="13" t="str">
        <f>TEXT(INDEX(原始数据!$B$3:$H$26, MATCH(Z$2, 原始数据!$A$3:$A$26, 0), MATCH($E54, 原始数据!$B$2:$H$2, 0))*80,"0.00")&amp;"-"&amp;TEXT(INDEX(原始数据!$B$3:$H$26, MATCH(Z$2, 原始数据!$A$3:$A$26, 0), MATCH($E54, 原始数据!$B$2:$H$2, 0))*0.95,"0.00%")</f>
        <v>4.00-4.75%</v>
      </c>
      <c r="AA54" s="13"/>
      <c r="AC54" s="13"/>
      <c r="AD54" s="13"/>
      <c r="AF54" s="13"/>
      <c r="AH54" s="13"/>
      <c r="AJ54" s="13"/>
      <c r="AV54" s="1" t="s">
        <v>395</v>
      </c>
    </row>
    <row r="55" spans="2:48" x14ac:dyDescent="0.2">
      <c r="B55">
        <f>ID编号[id编号]*1000+ROW()-6</f>
        <v>108049</v>
      </c>
      <c r="C55" s="1" t="s">
        <v>64</v>
      </c>
      <c r="D55">
        <v>3</v>
      </c>
      <c r="E55">
        <v>1</v>
      </c>
      <c r="F55">
        <v>5</v>
      </c>
      <c r="G55">
        <v>0</v>
      </c>
      <c r="I55" s="6"/>
      <c r="M55" s="13"/>
      <c r="N55" s="13"/>
      <c r="O55" s="13"/>
      <c r="P55" s="13"/>
      <c r="S55" s="13"/>
      <c r="T55" s="13"/>
      <c r="AA55" s="13"/>
      <c r="AC55" s="13"/>
      <c r="AD55" s="13" t="str">
        <f>INDEX(原始数据!$B$3:$H$26, MATCH(AD$2, 原始数据!$A$3:$A$26, 0), MATCH($E55, 原始数据!$B$2:$H$2, 0))*0.8&amp;"-"&amp;INDEX(原始数据!$B$3:$H$26, MATCH(AD$2, 原始数据!$A$3:$A$26, 0), MATCH($E55, 原始数据!$B$2:$H$2, 0))*0.95</f>
        <v>12-14.25</v>
      </c>
      <c r="AE55" s="13" t="str">
        <f>TEXT(INDEX(原始数据!$B$3:$H$26, MATCH(AE$2, 原始数据!$A$3:$A$26, 0), MATCH($E55, 原始数据!$B$2:$H$2, 0))*80,"0.00")&amp;"-"&amp;TEXT(INDEX(原始数据!$B$3:$H$26, MATCH(AE$2, 原始数据!$A$3:$A$26, 0), MATCH($E55, 原始数据!$B$2:$H$2, 0))*0.95,"0.00%")</f>
        <v>10.00-11.88%</v>
      </c>
      <c r="AF55" s="13"/>
      <c r="AH55" s="13" t="str">
        <f>INDEX(原始数据!$B$3:$H$26, MATCH(AH$2, 原始数据!$A$3:$A$26, 0), MATCH($E55, 原始数据!$B$2:$H$2, 0))*0.8&amp;"-"&amp;INDEX(原始数据!$B$3:$H$26, MATCH(AH$2, 原始数据!$A$3:$A$26, 0), MATCH($E55, 原始数据!$B$2:$H$2, 0))*0.95</f>
        <v>12-14.25</v>
      </c>
      <c r="AI55" s="13" t="str">
        <f>TEXT(INDEX(原始数据!$B$3:$H$26, MATCH(AI$2, 原始数据!$A$3:$A$26, 0), MATCH($E55, 原始数据!$B$2:$H$2, 0))*80,"0.00")&amp;"-"&amp;TEXT(INDEX(原始数据!$B$3:$H$26, MATCH(AI$2, 原始数据!$A$3:$A$26, 0), MATCH($E55, 原始数据!$B$2:$H$2, 0))*0.95,"0.00%")</f>
        <v>10.00-11.88%</v>
      </c>
      <c r="AJ55" s="13"/>
      <c r="AV55" s="1" t="s">
        <v>396</v>
      </c>
    </row>
    <row r="56" spans="2:48" x14ac:dyDescent="0.2">
      <c r="B56">
        <f>ID编号[id编号]*1000+ROW()-6</f>
        <v>108050</v>
      </c>
      <c r="C56" s="1" t="s">
        <v>80</v>
      </c>
      <c r="D56">
        <v>3</v>
      </c>
      <c r="E56">
        <v>2</v>
      </c>
      <c r="F56">
        <v>3</v>
      </c>
      <c r="G56">
        <v>0</v>
      </c>
      <c r="I56" s="6"/>
      <c r="M56" s="13"/>
      <c r="N56" s="13"/>
      <c r="O56" s="13"/>
      <c r="P56" s="13"/>
      <c r="S56" s="13"/>
      <c r="T56" s="13"/>
      <c r="AA56" s="13"/>
      <c r="AC56" s="13"/>
      <c r="AD56" s="13"/>
      <c r="AF56" s="13" t="str">
        <f>INDEX(原始数据!$B$3:$H$26, MATCH(AF$2, 原始数据!$A$3:$A$26, 0), MATCH($E56, 原始数据!$B$2:$H$2, 0))*0.8&amp;"-"&amp;INDEX(原始数据!$B$3:$H$26, MATCH(AF$2, 原始数据!$A$3:$A$26, 0), MATCH($E56, 原始数据!$B$2:$H$2, 0))*0.95</f>
        <v>1.2-1.425</v>
      </c>
      <c r="AG56" s="13" t="str">
        <f>TEXT(INDEX(原始数据!$B$3:$H$26, MATCH(AG$2, 原始数据!$A$3:$A$26, 0), MATCH($E56, 原始数据!$B$2:$H$2, 0))*80,"0.00")&amp;"-"&amp;TEXT(INDEX(原始数据!$B$3:$H$26, MATCH(AG$2, 原始数据!$A$3:$A$26, 0), MATCH($E56, 原始数据!$B$2:$H$2, 0))*0.95,"0.00%")</f>
        <v>24.00-28.50%</v>
      </c>
      <c r="AH56" s="13"/>
      <c r="AJ56" s="13" t="str">
        <f>INDEX(原始数据!$B$3:$H$26, MATCH(AJ$2, 原始数据!$A$3:$A$26, 0), MATCH($E56, 原始数据!$B$2:$H$2, 0))*0.8&amp;"-"&amp;INDEX(原始数据!$B$3:$H$26, MATCH(AJ$2, 原始数据!$A$3:$A$26, 0), MATCH($E56, 原始数据!$B$2:$H$2, 0))*0.95</f>
        <v>1.2-1.425</v>
      </c>
      <c r="AK56" s="13" t="str">
        <f>TEXT(INDEX(原始数据!$B$3:$H$26, MATCH(AK$2, 原始数据!$A$3:$A$26, 0), MATCH($E56, 原始数据!$B$2:$H$2, 0))*80,"0.00")&amp;"-"&amp;TEXT(INDEX(原始数据!$B$3:$H$26, MATCH(AK$2, 原始数据!$A$3:$A$26, 0), MATCH($E56, 原始数据!$B$2:$H$2, 0))*0.95,"0.00%")</f>
        <v>24.00-28.50%</v>
      </c>
      <c r="AV56" s="1" t="s">
        <v>397</v>
      </c>
    </row>
    <row r="57" spans="2:48" x14ac:dyDescent="0.2">
      <c r="B57">
        <f>ID编号[id编号]*1000+ROW()-6</f>
        <v>108051</v>
      </c>
      <c r="C57" s="7" t="s">
        <v>72</v>
      </c>
      <c r="D57">
        <v>3</v>
      </c>
      <c r="E57">
        <v>2</v>
      </c>
      <c r="F57">
        <v>4</v>
      </c>
      <c r="G57">
        <v>0</v>
      </c>
      <c r="I57" s="6"/>
      <c r="M57" s="13"/>
      <c r="N57" s="13"/>
      <c r="O57" s="13"/>
      <c r="P57" s="13"/>
      <c r="S57" s="13"/>
      <c r="T57" s="13"/>
      <c r="W57" s="13" t="str">
        <f>TEXT(INDEX(原始数据!$B$3:$H$26, MATCH(W$2, 原始数据!$A$3:$A$26, 0), MATCH($E57, 原始数据!$B$2:$H$2, 0))*80,"0.00")&amp;"-"&amp;TEXT(INDEX(原始数据!$B$3:$H$26, MATCH(W$2, 原始数据!$A$3:$A$26, 0), MATCH($E57, 原始数据!$B$2:$H$2, 0))*0.95,"0.00%")</f>
        <v>1.60-1.90%</v>
      </c>
      <c r="X57" s="13" t="str">
        <f>TEXT(INDEX(原始数据!$B$3:$H$26, MATCH(X$2, 原始数据!$A$3:$A$26, 0), MATCH($E57, 原始数据!$B$2:$H$2, 0))*80,"0.00")&amp;"-"&amp;TEXT(INDEX(原始数据!$B$3:$H$26, MATCH(X$2, 原始数据!$A$3:$A$26, 0), MATCH($E57, 原始数据!$B$2:$H$2, 0))*0.95,"0.00%")</f>
        <v>1.60-1.90%</v>
      </c>
      <c r="Y57" s="13" t="str">
        <f>TEXT(INDEX(原始数据!$B$3:$H$26, MATCH(Y$2, 原始数据!$A$3:$A$26, 0), MATCH($E57, 原始数据!$B$2:$H$2, 0))*80,"0.00")&amp;"-"&amp;TEXT(INDEX(原始数据!$B$3:$H$26, MATCH(Y$2, 原始数据!$A$3:$A$26, 0), MATCH($E57, 原始数据!$B$2:$H$2, 0))*0.95,"0.00%")</f>
        <v>2.00-2.38%</v>
      </c>
      <c r="Z57" s="13" t="str">
        <f>TEXT(INDEX(原始数据!$B$3:$H$26, MATCH(Z$2, 原始数据!$A$3:$A$26, 0), MATCH($E57, 原始数据!$B$2:$H$2, 0))*80,"0.00")&amp;"-"&amp;TEXT(INDEX(原始数据!$B$3:$H$26, MATCH(Z$2, 原始数据!$A$3:$A$26, 0), MATCH($E57, 原始数据!$B$2:$H$2, 0))*0.95,"0.00%")</f>
        <v>8.00-9.50%</v>
      </c>
      <c r="AA57" s="13"/>
      <c r="AC57" s="13"/>
      <c r="AD57" s="13"/>
      <c r="AF57" s="13"/>
      <c r="AH57" s="13"/>
      <c r="AJ57" s="13"/>
      <c r="AV57" s="1" t="s">
        <v>398</v>
      </c>
    </row>
    <row r="58" spans="2:48" x14ac:dyDescent="0.2">
      <c r="B58">
        <f>ID编号[id编号]*1000+ROW()-6</f>
        <v>108052</v>
      </c>
      <c r="C58" s="7" t="s">
        <v>73</v>
      </c>
      <c r="D58">
        <v>3</v>
      </c>
      <c r="E58">
        <v>2</v>
      </c>
      <c r="F58">
        <v>4</v>
      </c>
      <c r="G58">
        <v>0</v>
      </c>
      <c r="I58" s="6"/>
      <c r="M58" s="13"/>
      <c r="N58" s="13"/>
      <c r="O58" s="13"/>
      <c r="P58" s="13"/>
      <c r="S58" s="13"/>
      <c r="T58" s="13"/>
      <c r="W58" s="13" t="str">
        <f>TEXT(INDEX(原始数据!$B$3:$H$26, MATCH(W$2, 原始数据!$A$3:$A$26, 0), MATCH($E58, 原始数据!$B$2:$H$2, 0))*80,"0.00")&amp;"-"&amp;TEXT(INDEX(原始数据!$B$3:$H$26, MATCH(W$2, 原始数据!$A$3:$A$26, 0), MATCH($E58, 原始数据!$B$2:$H$2, 0))*0.95,"0.00%")</f>
        <v>1.60-1.90%</v>
      </c>
      <c r="X58" s="13" t="str">
        <f>TEXT(INDEX(原始数据!$B$3:$H$26, MATCH(X$2, 原始数据!$A$3:$A$26, 0), MATCH($E58, 原始数据!$B$2:$H$2, 0))*80,"0.00")&amp;"-"&amp;TEXT(INDEX(原始数据!$B$3:$H$26, MATCH(X$2, 原始数据!$A$3:$A$26, 0), MATCH($E58, 原始数据!$B$2:$H$2, 0))*0.95,"0.00%")</f>
        <v>1.60-1.90%</v>
      </c>
      <c r="Y58" s="13" t="str">
        <f>TEXT(INDEX(原始数据!$B$3:$H$26, MATCH(Y$2, 原始数据!$A$3:$A$26, 0), MATCH($E58, 原始数据!$B$2:$H$2, 0))*80,"0.00")&amp;"-"&amp;TEXT(INDEX(原始数据!$B$3:$H$26, MATCH(Y$2, 原始数据!$A$3:$A$26, 0), MATCH($E58, 原始数据!$B$2:$H$2, 0))*0.95,"0.00%")</f>
        <v>2.00-2.38%</v>
      </c>
      <c r="Z58" s="13" t="str">
        <f>TEXT(INDEX(原始数据!$B$3:$H$26, MATCH(Z$2, 原始数据!$A$3:$A$26, 0), MATCH($E58, 原始数据!$B$2:$H$2, 0))*80,"0.00")&amp;"-"&amp;TEXT(INDEX(原始数据!$B$3:$H$26, MATCH(Z$2, 原始数据!$A$3:$A$26, 0), MATCH($E58, 原始数据!$B$2:$H$2, 0))*0.95,"0.00%")</f>
        <v>8.00-9.50%</v>
      </c>
      <c r="AA58" s="13"/>
      <c r="AC58" s="13"/>
      <c r="AD58" s="13"/>
      <c r="AF58" s="13"/>
      <c r="AH58" s="13"/>
      <c r="AJ58" s="13"/>
      <c r="AV58" s="1" t="s">
        <v>399</v>
      </c>
    </row>
    <row r="59" spans="2:48" x14ac:dyDescent="0.2">
      <c r="B59">
        <f>ID编号[id编号]*1000+ROW()-6</f>
        <v>108053</v>
      </c>
      <c r="C59" s="1" t="s">
        <v>65</v>
      </c>
      <c r="D59">
        <v>3</v>
      </c>
      <c r="E59">
        <v>2</v>
      </c>
      <c r="F59">
        <v>5</v>
      </c>
      <c r="G59">
        <v>0</v>
      </c>
      <c r="I59" s="6"/>
      <c r="M59" s="13"/>
      <c r="N59" s="13"/>
      <c r="O59" s="13"/>
      <c r="P59" s="13"/>
      <c r="S59" s="13"/>
      <c r="T59" s="13"/>
      <c r="AA59" s="13"/>
      <c r="AC59" s="13"/>
      <c r="AD59" s="13" t="str">
        <f>INDEX(原始数据!$B$3:$H$26, MATCH(AD$2, 原始数据!$A$3:$A$26, 0), MATCH($E59, 原始数据!$B$2:$H$2, 0))*0.8&amp;"-"&amp;INDEX(原始数据!$B$3:$H$26, MATCH(AD$2, 原始数据!$A$3:$A$26, 0), MATCH($E59, 原始数据!$B$2:$H$2, 0))*0.95</f>
        <v>24-28.5</v>
      </c>
      <c r="AE59" s="13" t="str">
        <f>TEXT(INDEX(原始数据!$B$3:$H$26, MATCH(AE$2, 原始数据!$A$3:$A$26, 0), MATCH($E59, 原始数据!$B$2:$H$2, 0))*80,"0.00")&amp;"-"&amp;TEXT(INDEX(原始数据!$B$3:$H$26, MATCH(AE$2, 原始数据!$A$3:$A$26, 0), MATCH($E59, 原始数据!$B$2:$H$2, 0))*0.95,"0.00%")</f>
        <v>20.00-23.75%</v>
      </c>
      <c r="AF59" s="13"/>
      <c r="AH59" s="13" t="str">
        <f>INDEX(原始数据!$B$3:$H$26, MATCH(AH$2, 原始数据!$A$3:$A$26, 0), MATCH($E59, 原始数据!$B$2:$H$2, 0))*0.8&amp;"-"&amp;INDEX(原始数据!$B$3:$H$26, MATCH(AH$2, 原始数据!$A$3:$A$26, 0), MATCH($E59, 原始数据!$B$2:$H$2, 0))*0.95</f>
        <v>24-28.5</v>
      </c>
      <c r="AI59" s="13" t="str">
        <f>TEXT(INDEX(原始数据!$B$3:$H$26, MATCH(AI$2, 原始数据!$A$3:$A$26, 0), MATCH($E59, 原始数据!$B$2:$H$2, 0))*80,"0.00")&amp;"-"&amp;TEXT(INDEX(原始数据!$B$3:$H$26, MATCH(AI$2, 原始数据!$A$3:$A$26, 0), MATCH($E59, 原始数据!$B$2:$H$2, 0))*0.95,"0.00%")</f>
        <v>20.00-23.75%</v>
      </c>
      <c r="AJ59" s="13"/>
      <c r="AV59" s="1" t="s">
        <v>400</v>
      </c>
    </row>
    <row r="60" spans="2:48" x14ac:dyDescent="0.2">
      <c r="B60">
        <f>ID编号[id编号]*1000+ROW()-6</f>
        <v>108054</v>
      </c>
      <c r="C60" s="1" t="s">
        <v>81</v>
      </c>
      <c r="D60">
        <v>3</v>
      </c>
      <c r="E60">
        <v>3</v>
      </c>
      <c r="F60">
        <v>3</v>
      </c>
      <c r="G60">
        <v>0</v>
      </c>
      <c r="I60" s="6"/>
      <c r="M60" s="13"/>
      <c r="N60" s="13"/>
      <c r="O60" s="13"/>
      <c r="P60" s="13"/>
      <c r="S60" s="13"/>
      <c r="T60" s="13"/>
      <c r="AA60" s="13"/>
      <c r="AC60" s="13"/>
      <c r="AD60" s="13"/>
      <c r="AF60" s="13" t="str">
        <f>INDEX(原始数据!$B$3:$H$26, MATCH(AF$2, 原始数据!$A$3:$A$26, 0), MATCH($E60, 原始数据!$B$2:$H$2, 0))*0.8&amp;"-"&amp;INDEX(原始数据!$B$3:$H$26, MATCH(AF$2, 原始数据!$A$3:$A$26, 0), MATCH($E60, 原始数据!$B$2:$H$2, 0))*0.95</f>
        <v>1.8-2.1375</v>
      </c>
      <c r="AG60" s="13" t="str">
        <f>TEXT(INDEX(原始数据!$B$3:$H$26, MATCH(AG$2, 原始数据!$A$3:$A$26, 0), MATCH($E60, 原始数据!$B$2:$H$2, 0))*80,"0.00")&amp;"-"&amp;TEXT(INDEX(原始数据!$B$3:$H$26, MATCH(AG$2, 原始数据!$A$3:$A$26, 0), MATCH($E60, 原始数据!$B$2:$H$2, 0))*0.95,"0.00%")</f>
        <v>36.00-42.75%</v>
      </c>
      <c r="AH60" s="13"/>
      <c r="AJ60" s="13" t="str">
        <f>INDEX(原始数据!$B$3:$H$26, MATCH(AJ$2, 原始数据!$A$3:$A$26, 0), MATCH($E60, 原始数据!$B$2:$H$2, 0))*0.8&amp;"-"&amp;INDEX(原始数据!$B$3:$H$26, MATCH(AJ$2, 原始数据!$A$3:$A$26, 0), MATCH($E60, 原始数据!$B$2:$H$2, 0))*0.95</f>
        <v>1.8-2.1375</v>
      </c>
      <c r="AK60" s="13" t="str">
        <f>TEXT(INDEX(原始数据!$B$3:$H$26, MATCH(AK$2, 原始数据!$A$3:$A$26, 0), MATCH($E60, 原始数据!$B$2:$H$2, 0))*80,"0.00")&amp;"-"&amp;TEXT(INDEX(原始数据!$B$3:$H$26, MATCH(AK$2, 原始数据!$A$3:$A$26, 0), MATCH($E60, 原始数据!$B$2:$H$2, 0))*0.95,"0.00%")</f>
        <v>36.00-42.75%</v>
      </c>
      <c r="AV60" s="1" t="s">
        <v>401</v>
      </c>
    </row>
    <row r="61" spans="2:48" x14ac:dyDescent="0.2">
      <c r="B61">
        <f>ID编号[id编号]*1000+ROW()-6</f>
        <v>108055</v>
      </c>
      <c r="C61" s="1" t="s">
        <v>74</v>
      </c>
      <c r="D61">
        <v>3</v>
      </c>
      <c r="E61">
        <v>3</v>
      </c>
      <c r="F61">
        <v>4</v>
      </c>
      <c r="G61">
        <v>0</v>
      </c>
      <c r="I61" s="6"/>
      <c r="M61" s="13"/>
      <c r="N61" s="13"/>
      <c r="O61" s="13"/>
      <c r="P61" s="13"/>
      <c r="S61" s="13"/>
      <c r="T61" s="13"/>
      <c r="W61" s="13" t="str">
        <f>TEXT(INDEX(原始数据!$B$3:$H$26, MATCH(W$2, 原始数据!$A$3:$A$26, 0), MATCH($E61, 原始数据!$B$2:$H$2, 0))*80,"0.00")&amp;"-"&amp;TEXT(INDEX(原始数据!$B$3:$H$26, MATCH(W$2, 原始数据!$A$3:$A$26, 0), MATCH($E61, 原始数据!$B$2:$H$2, 0))*0.95,"0.00%")</f>
        <v>2.40-2.85%</v>
      </c>
      <c r="X61" s="13" t="str">
        <f>TEXT(INDEX(原始数据!$B$3:$H$26, MATCH(X$2, 原始数据!$A$3:$A$26, 0), MATCH($E61, 原始数据!$B$2:$H$2, 0))*80,"0.00")&amp;"-"&amp;TEXT(INDEX(原始数据!$B$3:$H$26, MATCH(X$2, 原始数据!$A$3:$A$26, 0), MATCH($E61, 原始数据!$B$2:$H$2, 0))*0.95,"0.00%")</f>
        <v>2.40-2.85%</v>
      </c>
      <c r="Y61" s="13" t="str">
        <f>TEXT(INDEX(原始数据!$B$3:$H$26, MATCH(Y$2, 原始数据!$A$3:$A$26, 0), MATCH($E61, 原始数据!$B$2:$H$2, 0))*80,"0.00")&amp;"-"&amp;TEXT(INDEX(原始数据!$B$3:$H$26, MATCH(Y$2, 原始数据!$A$3:$A$26, 0), MATCH($E61, 原始数据!$B$2:$H$2, 0))*0.95,"0.00%")</f>
        <v>3.00-3.56%</v>
      </c>
      <c r="Z61" s="13" t="str">
        <f>TEXT(INDEX(原始数据!$B$3:$H$26, MATCH(Z$2, 原始数据!$A$3:$A$26, 0), MATCH($E61, 原始数据!$B$2:$H$2, 0))*80,"0.00")&amp;"-"&amp;TEXT(INDEX(原始数据!$B$3:$H$26, MATCH(Z$2, 原始数据!$A$3:$A$26, 0), MATCH($E61, 原始数据!$B$2:$H$2, 0))*0.95,"0.00%")</f>
        <v>12.00-14.25%</v>
      </c>
      <c r="AA61" s="13"/>
      <c r="AC61" s="13"/>
      <c r="AD61" s="13"/>
      <c r="AF61" s="13"/>
      <c r="AH61" s="13"/>
      <c r="AJ61" s="13"/>
      <c r="AV61" s="1" t="s">
        <v>402</v>
      </c>
    </row>
    <row r="62" spans="2:48" x14ac:dyDescent="0.2">
      <c r="B62">
        <f>ID编号[id编号]*1000+ROW()-6</f>
        <v>108056</v>
      </c>
      <c r="C62" s="1" t="s">
        <v>66</v>
      </c>
      <c r="D62">
        <v>3</v>
      </c>
      <c r="E62">
        <v>3</v>
      </c>
      <c r="F62">
        <v>5</v>
      </c>
      <c r="G62">
        <v>0</v>
      </c>
      <c r="I62" s="6"/>
      <c r="M62" s="13"/>
      <c r="N62" s="13"/>
      <c r="O62" s="13"/>
      <c r="P62" s="13"/>
      <c r="S62" s="13"/>
      <c r="T62" s="13"/>
      <c r="AA62" s="13"/>
      <c r="AC62" s="13"/>
      <c r="AD62" s="13" t="str">
        <f>INDEX(原始数据!$B$3:$H$26, MATCH(AD$2, 原始数据!$A$3:$A$26, 0), MATCH($E62, 原始数据!$B$2:$H$2, 0))*0.8&amp;"-"&amp;INDEX(原始数据!$B$3:$H$26, MATCH(AD$2, 原始数据!$A$3:$A$26, 0), MATCH($E62, 原始数据!$B$2:$H$2, 0))*0.95</f>
        <v>36-42.75</v>
      </c>
      <c r="AE62" s="13" t="str">
        <f>TEXT(INDEX(原始数据!$B$3:$H$26, MATCH(AE$2, 原始数据!$A$3:$A$26, 0), MATCH($E62, 原始数据!$B$2:$H$2, 0))*80,"0.00")&amp;"-"&amp;TEXT(INDEX(原始数据!$B$3:$H$26, MATCH(AE$2, 原始数据!$A$3:$A$26, 0), MATCH($E62, 原始数据!$B$2:$H$2, 0))*0.95,"0.00%")</f>
        <v>30.00-35.63%</v>
      </c>
      <c r="AF62" s="13"/>
      <c r="AH62" s="13" t="str">
        <f>INDEX(原始数据!$B$3:$H$26, MATCH(AH$2, 原始数据!$A$3:$A$26, 0), MATCH($E62, 原始数据!$B$2:$H$2, 0))*0.8&amp;"-"&amp;INDEX(原始数据!$B$3:$H$26, MATCH(AH$2, 原始数据!$A$3:$A$26, 0), MATCH($E62, 原始数据!$B$2:$H$2, 0))*0.95</f>
        <v>36-42.75</v>
      </c>
      <c r="AI62" s="13" t="str">
        <f>TEXT(INDEX(原始数据!$B$3:$H$26, MATCH(AI$2, 原始数据!$A$3:$A$26, 0), MATCH($E62, 原始数据!$B$2:$H$2, 0))*80,"0.00")&amp;"-"&amp;TEXT(INDEX(原始数据!$B$3:$H$26, MATCH(AI$2, 原始数据!$A$3:$A$26, 0), MATCH($E62, 原始数据!$B$2:$H$2, 0))*0.95,"0.00%")</f>
        <v>30.00-35.63%</v>
      </c>
      <c r="AJ62" s="13"/>
      <c r="AV62" s="1" t="s">
        <v>403</v>
      </c>
    </row>
    <row r="63" spans="2:48" x14ac:dyDescent="0.2">
      <c r="B63">
        <f>ID编号[id编号]*1000+ROW()-6</f>
        <v>108057</v>
      </c>
      <c r="C63" s="1" t="s">
        <v>82</v>
      </c>
      <c r="D63">
        <v>3</v>
      </c>
      <c r="E63">
        <v>4</v>
      </c>
      <c r="F63">
        <v>3</v>
      </c>
      <c r="G63">
        <v>0</v>
      </c>
      <c r="I63" s="6"/>
      <c r="M63" s="13"/>
      <c r="N63" s="13"/>
      <c r="O63" s="13"/>
      <c r="P63" s="13"/>
      <c r="S63" s="13"/>
      <c r="T63" s="13"/>
      <c r="AA63" s="13"/>
      <c r="AC63" s="13"/>
      <c r="AD63" s="13"/>
      <c r="AF63" s="13" t="str">
        <f>INDEX(原始数据!$B$3:$H$26, MATCH(AF$2, 原始数据!$A$3:$A$26, 0), MATCH($E63, 原始数据!$B$2:$H$2, 0))*0.8&amp;"-"&amp;INDEX(原始数据!$B$3:$H$26, MATCH(AF$2, 原始数据!$A$3:$A$26, 0), MATCH($E63, 原始数据!$B$2:$H$2, 0))*0.95</f>
        <v>2.4-2.85</v>
      </c>
      <c r="AG63" s="13" t="str">
        <f>TEXT(INDEX(原始数据!$B$3:$H$26, MATCH(AG$2, 原始数据!$A$3:$A$26, 0), MATCH($E63, 原始数据!$B$2:$H$2, 0))*80,"0.00")&amp;"-"&amp;TEXT(INDEX(原始数据!$B$3:$H$26, MATCH(AG$2, 原始数据!$A$3:$A$26, 0), MATCH($E63, 原始数据!$B$2:$H$2, 0))*0.95,"0.00%")</f>
        <v>48.00-57.00%</v>
      </c>
      <c r="AH63" s="13"/>
      <c r="AJ63" s="13" t="str">
        <f>INDEX(原始数据!$B$3:$H$26, MATCH(AJ$2, 原始数据!$A$3:$A$26, 0), MATCH($E63, 原始数据!$B$2:$H$2, 0))*0.8&amp;"-"&amp;INDEX(原始数据!$B$3:$H$26, MATCH(AJ$2, 原始数据!$A$3:$A$26, 0), MATCH($E63, 原始数据!$B$2:$H$2, 0))*0.95</f>
        <v>2.4-2.85</v>
      </c>
      <c r="AK63" s="13" t="str">
        <f>TEXT(INDEX(原始数据!$B$3:$H$26, MATCH(AK$2, 原始数据!$A$3:$A$26, 0), MATCH($E63, 原始数据!$B$2:$H$2, 0))*80,"0.00")&amp;"-"&amp;TEXT(INDEX(原始数据!$B$3:$H$26, MATCH(AK$2, 原始数据!$A$3:$A$26, 0), MATCH($E63, 原始数据!$B$2:$H$2, 0))*0.95,"0.00%")</f>
        <v>48.00-57.00%</v>
      </c>
      <c r="AV63" s="1" t="s">
        <v>404</v>
      </c>
    </row>
    <row r="64" spans="2:48" x14ac:dyDescent="0.2">
      <c r="B64">
        <f>ID编号[id编号]*1000+ROW()-6</f>
        <v>108058</v>
      </c>
      <c r="C64" s="1" t="s">
        <v>75</v>
      </c>
      <c r="D64">
        <v>3</v>
      </c>
      <c r="E64">
        <v>4</v>
      </c>
      <c r="F64">
        <v>4</v>
      </c>
      <c r="G64">
        <v>0</v>
      </c>
      <c r="I64" s="6"/>
      <c r="M64" s="13"/>
      <c r="N64" s="13"/>
      <c r="O64" s="13"/>
      <c r="P64" s="13"/>
      <c r="S64" s="13"/>
      <c r="T64" s="13"/>
      <c r="W64" s="13" t="str">
        <f>TEXT(INDEX(原始数据!$B$3:$H$26, MATCH(W$2, 原始数据!$A$3:$A$26, 0), MATCH($E64, 原始数据!$B$2:$H$2, 0))*80,"0.00")&amp;"-"&amp;TEXT(INDEX(原始数据!$B$3:$H$26, MATCH(W$2, 原始数据!$A$3:$A$26, 0), MATCH($E64, 原始数据!$B$2:$H$2, 0))*0.95,"0.00%")</f>
        <v>3.20-3.80%</v>
      </c>
      <c r="X64" s="13" t="str">
        <f>TEXT(INDEX(原始数据!$B$3:$H$26, MATCH(X$2, 原始数据!$A$3:$A$26, 0), MATCH($E64, 原始数据!$B$2:$H$2, 0))*80,"0.00")&amp;"-"&amp;TEXT(INDEX(原始数据!$B$3:$H$26, MATCH(X$2, 原始数据!$A$3:$A$26, 0), MATCH($E64, 原始数据!$B$2:$H$2, 0))*0.95,"0.00%")</f>
        <v>3.20-3.80%</v>
      </c>
      <c r="Y64" s="13" t="str">
        <f>TEXT(INDEX(原始数据!$B$3:$H$26, MATCH(Y$2, 原始数据!$A$3:$A$26, 0), MATCH($E64, 原始数据!$B$2:$H$2, 0))*80,"0.00")&amp;"-"&amp;TEXT(INDEX(原始数据!$B$3:$H$26, MATCH(Y$2, 原始数据!$A$3:$A$26, 0), MATCH($E64, 原始数据!$B$2:$H$2, 0))*0.95,"0.00%")</f>
        <v>4.00-4.75%</v>
      </c>
      <c r="Z64" s="13" t="str">
        <f>TEXT(INDEX(原始数据!$B$3:$H$26, MATCH(Z$2, 原始数据!$A$3:$A$26, 0), MATCH($E64, 原始数据!$B$2:$H$2, 0))*80,"0.00")&amp;"-"&amp;TEXT(INDEX(原始数据!$B$3:$H$26, MATCH(Z$2, 原始数据!$A$3:$A$26, 0), MATCH($E64, 原始数据!$B$2:$H$2, 0))*0.95,"0.00%")</f>
        <v>16.00-19.00%</v>
      </c>
      <c r="AA64" s="13"/>
      <c r="AC64" s="13"/>
      <c r="AD64" s="13"/>
      <c r="AF64" s="13"/>
      <c r="AH64" s="13"/>
      <c r="AJ64" s="13"/>
      <c r="AV64" s="1" t="s">
        <v>405</v>
      </c>
    </row>
    <row r="65" spans="2:48" x14ac:dyDescent="0.2">
      <c r="B65">
        <f>ID编号[id编号]*1000+ROW()-6</f>
        <v>108059</v>
      </c>
      <c r="C65" s="1" t="s">
        <v>67</v>
      </c>
      <c r="D65">
        <v>3</v>
      </c>
      <c r="E65">
        <v>4</v>
      </c>
      <c r="F65">
        <v>5</v>
      </c>
      <c r="G65">
        <v>0</v>
      </c>
      <c r="I65" s="6"/>
      <c r="M65" s="13"/>
      <c r="N65" s="13"/>
      <c r="O65" s="13"/>
      <c r="P65" s="13"/>
      <c r="S65" s="13"/>
      <c r="T65" s="13"/>
      <c r="AA65" s="13"/>
      <c r="AC65" s="13"/>
      <c r="AD65" s="13" t="str">
        <f>INDEX(原始数据!$B$3:$H$26, MATCH(AD$2, 原始数据!$A$3:$A$26, 0), MATCH($E65, 原始数据!$B$2:$H$2, 0))*0.8&amp;"-"&amp;INDEX(原始数据!$B$3:$H$26, MATCH(AD$2, 原始数据!$A$3:$A$26, 0), MATCH($E65, 原始数据!$B$2:$H$2, 0))*0.95</f>
        <v>48-57</v>
      </c>
      <c r="AE65" s="13" t="str">
        <f>TEXT(INDEX(原始数据!$B$3:$H$26, MATCH(AE$2, 原始数据!$A$3:$A$26, 0), MATCH($E65, 原始数据!$B$2:$H$2, 0))*80,"0.00")&amp;"-"&amp;TEXT(INDEX(原始数据!$B$3:$H$26, MATCH(AE$2, 原始数据!$A$3:$A$26, 0), MATCH($E65, 原始数据!$B$2:$H$2, 0))*0.95,"0.00%")</f>
        <v>40.00-47.50%</v>
      </c>
      <c r="AF65" s="13"/>
      <c r="AH65" s="13" t="str">
        <f>INDEX(原始数据!$B$3:$H$26, MATCH(AH$2, 原始数据!$A$3:$A$26, 0), MATCH($E65, 原始数据!$B$2:$H$2, 0))*0.8&amp;"-"&amp;INDEX(原始数据!$B$3:$H$26, MATCH(AH$2, 原始数据!$A$3:$A$26, 0), MATCH($E65, 原始数据!$B$2:$H$2, 0))*0.95</f>
        <v>48-57</v>
      </c>
      <c r="AI65" s="13" t="str">
        <f>TEXT(INDEX(原始数据!$B$3:$H$26, MATCH(AI$2, 原始数据!$A$3:$A$26, 0), MATCH($E65, 原始数据!$B$2:$H$2, 0))*80,"0.00")&amp;"-"&amp;TEXT(INDEX(原始数据!$B$3:$H$26, MATCH(AI$2, 原始数据!$A$3:$A$26, 0), MATCH($E65, 原始数据!$B$2:$H$2, 0))*0.95,"0.00%")</f>
        <v>40.00-47.50%</v>
      </c>
      <c r="AJ65" s="13"/>
      <c r="AV65" s="1" t="s">
        <v>406</v>
      </c>
    </row>
    <row r="66" spans="2:48" x14ac:dyDescent="0.2">
      <c r="B66">
        <f>ID编号[id编号]*1000+ROW()-6</f>
        <v>108060</v>
      </c>
      <c r="C66" s="1" t="s">
        <v>83</v>
      </c>
      <c r="D66">
        <v>3</v>
      </c>
      <c r="E66">
        <v>5</v>
      </c>
      <c r="F66">
        <v>3</v>
      </c>
      <c r="G66">
        <v>0</v>
      </c>
      <c r="I66" s="6"/>
      <c r="M66" s="13"/>
      <c r="N66" s="13"/>
      <c r="O66" s="13"/>
      <c r="P66" s="13"/>
      <c r="S66" s="13"/>
      <c r="T66" s="13"/>
      <c r="AA66" s="13"/>
      <c r="AC66" s="13"/>
      <c r="AD66" s="13"/>
      <c r="AF66" s="13" t="str">
        <f>INDEX(原始数据!$B$3:$H$26, MATCH(AF$2, 原始数据!$A$3:$A$26, 0), MATCH($E66, 原始数据!$B$2:$H$2, 0))*0.8&amp;"-"&amp;INDEX(原始数据!$B$3:$H$26, MATCH(AF$2, 原始数据!$A$3:$A$26, 0), MATCH($E66, 原始数据!$B$2:$H$2, 0))*0.95</f>
        <v>3-3.5625</v>
      </c>
      <c r="AG66" s="13" t="str">
        <f>TEXT(INDEX(原始数据!$B$3:$H$26, MATCH(AG$2, 原始数据!$A$3:$A$26, 0), MATCH($E66, 原始数据!$B$2:$H$2, 0))*80,"0.00")&amp;"-"&amp;TEXT(INDEX(原始数据!$B$3:$H$26, MATCH(AG$2, 原始数据!$A$3:$A$26, 0), MATCH($E66, 原始数据!$B$2:$H$2, 0))*0.95,"0.00%")</f>
        <v>60.00-71.25%</v>
      </c>
      <c r="AH66" s="13"/>
      <c r="AJ66" s="13" t="str">
        <f>INDEX(原始数据!$B$3:$H$26, MATCH(AJ$2, 原始数据!$A$3:$A$26, 0), MATCH($E66, 原始数据!$B$2:$H$2, 0))*0.8&amp;"-"&amp;INDEX(原始数据!$B$3:$H$26, MATCH(AJ$2, 原始数据!$A$3:$A$26, 0), MATCH($E66, 原始数据!$B$2:$H$2, 0))*0.95</f>
        <v>3-3.5625</v>
      </c>
      <c r="AK66" s="13" t="str">
        <f>TEXT(INDEX(原始数据!$B$3:$H$26, MATCH(AK$2, 原始数据!$A$3:$A$26, 0), MATCH($E66, 原始数据!$B$2:$H$2, 0))*80,"0.00")&amp;"-"&amp;TEXT(INDEX(原始数据!$B$3:$H$26, MATCH(AK$2, 原始数据!$A$3:$A$26, 0), MATCH($E66, 原始数据!$B$2:$H$2, 0))*0.95,"0.00%")</f>
        <v>60.00-71.25%</v>
      </c>
      <c r="AV66" s="1" t="s">
        <v>407</v>
      </c>
    </row>
    <row r="67" spans="2:48" x14ac:dyDescent="0.2">
      <c r="B67">
        <f>ID编号[id编号]*1000+ROW()-6</f>
        <v>108061</v>
      </c>
      <c r="C67" s="1" t="s">
        <v>76</v>
      </c>
      <c r="D67">
        <v>3</v>
      </c>
      <c r="E67">
        <v>5</v>
      </c>
      <c r="F67">
        <v>4</v>
      </c>
      <c r="G67">
        <v>0</v>
      </c>
      <c r="I67" s="6"/>
      <c r="M67" s="13"/>
      <c r="N67" s="13"/>
      <c r="O67" s="13"/>
      <c r="P67" s="13"/>
      <c r="S67" s="13"/>
      <c r="T67" s="13"/>
      <c r="W67" s="13" t="str">
        <f>TEXT(INDEX(原始数据!$B$3:$H$26, MATCH(W$2, 原始数据!$A$3:$A$26, 0), MATCH($E67, 原始数据!$B$2:$H$2, 0))*80,"0.00")&amp;"-"&amp;TEXT(INDEX(原始数据!$B$3:$H$26, MATCH(W$2, 原始数据!$A$3:$A$26, 0), MATCH($E67, 原始数据!$B$2:$H$2, 0))*0.95,"0.00%")</f>
        <v>4.00-4.75%</v>
      </c>
      <c r="X67" s="13" t="str">
        <f>TEXT(INDEX(原始数据!$B$3:$H$26, MATCH(X$2, 原始数据!$A$3:$A$26, 0), MATCH($E67, 原始数据!$B$2:$H$2, 0))*80,"0.00")&amp;"-"&amp;TEXT(INDEX(原始数据!$B$3:$H$26, MATCH(X$2, 原始数据!$A$3:$A$26, 0), MATCH($E67, 原始数据!$B$2:$H$2, 0))*0.95,"0.00%")</f>
        <v>4.00-4.75%</v>
      </c>
      <c r="Y67" s="13" t="str">
        <f>TEXT(INDEX(原始数据!$B$3:$H$26, MATCH(Y$2, 原始数据!$A$3:$A$26, 0), MATCH($E67, 原始数据!$B$2:$H$2, 0))*80,"0.00")&amp;"-"&amp;TEXT(INDEX(原始数据!$B$3:$H$26, MATCH(Y$2, 原始数据!$A$3:$A$26, 0), MATCH($E67, 原始数据!$B$2:$H$2, 0))*0.95,"0.00%")</f>
        <v>5.00-5.94%</v>
      </c>
      <c r="Z67" s="13" t="str">
        <f>TEXT(INDEX(原始数据!$B$3:$H$26, MATCH(Z$2, 原始数据!$A$3:$A$26, 0), MATCH($E67, 原始数据!$B$2:$H$2, 0))*80,"0.00")&amp;"-"&amp;TEXT(INDEX(原始数据!$B$3:$H$26, MATCH(Z$2, 原始数据!$A$3:$A$26, 0), MATCH($E67, 原始数据!$B$2:$H$2, 0))*0.95,"0.00%")</f>
        <v>20.00-23.75%</v>
      </c>
      <c r="AA67" s="13"/>
      <c r="AC67" s="13"/>
      <c r="AD67" s="13"/>
      <c r="AF67" s="13"/>
      <c r="AH67" s="13"/>
      <c r="AJ67" s="13"/>
      <c r="AV67" s="1" t="s">
        <v>408</v>
      </c>
    </row>
    <row r="68" spans="2:48" x14ac:dyDescent="0.2">
      <c r="B68">
        <f>ID编号[id编号]*1000+ROW()-6</f>
        <v>108062</v>
      </c>
      <c r="C68" s="1" t="s">
        <v>68</v>
      </c>
      <c r="D68">
        <v>3</v>
      </c>
      <c r="E68">
        <v>5</v>
      </c>
      <c r="F68">
        <v>5</v>
      </c>
      <c r="G68">
        <v>0</v>
      </c>
      <c r="I68" s="6"/>
      <c r="M68" s="13"/>
      <c r="N68" s="13"/>
      <c r="O68" s="13"/>
      <c r="P68" s="13"/>
      <c r="S68" s="13"/>
      <c r="T68" s="13"/>
      <c r="AA68" s="13"/>
      <c r="AC68" s="13"/>
      <c r="AD68" s="13" t="str">
        <f>INDEX(原始数据!$B$3:$H$26, MATCH(AD$2, 原始数据!$A$3:$A$26, 0), MATCH($E68, 原始数据!$B$2:$H$2, 0))*0.8&amp;"-"&amp;INDEX(原始数据!$B$3:$H$26, MATCH(AD$2, 原始数据!$A$3:$A$26, 0), MATCH($E68, 原始数据!$B$2:$H$2, 0))*0.95</f>
        <v>60-71.25</v>
      </c>
      <c r="AE68" s="13" t="str">
        <f>TEXT(INDEX(原始数据!$B$3:$H$26, MATCH(AE$2, 原始数据!$A$3:$A$26, 0), MATCH($E68, 原始数据!$B$2:$H$2, 0))*80,"0.00")&amp;"-"&amp;TEXT(INDEX(原始数据!$B$3:$H$26, MATCH(AE$2, 原始数据!$A$3:$A$26, 0), MATCH($E68, 原始数据!$B$2:$H$2, 0))*0.95,"0.00%")</f>
        <v>50.00-59.38%</v>
      </c>
      <c r="AF68" s="13"/>
      <c r="AH68" s="13" t="str">
        <f>INDEX(原始数据!$B$3:$H$26, MATCH(AH$2, 原始数据!$A$3:$A$26, 0), MATCH($E68, 原始数据!$B$2:$H$2, 0))*0.8&amp;"-"&amp;INDEX(原始数据!$B$3:$H$26, MATCH(AH$2, 原始数据!$A$3:$A$26, 0), MATCH($E68, 原始数据!$B$2:$H$2, 0))*0.95</f>
        <v>60-71.25</v>
      </c>
      <c r="AI68" s="13" t="str">
        <f>TEXT(INDEX(原始数据!$B$3:$H$26, MATCH(AI$2, 原始数据!$A$3:$A$26, 0), MATCH($E68, 原始数据!$B$2:$H$2, 0))*80,"0.00")&amp;"-"&amp;TEXT(INDEX(原始数据!$B$3:$H$26, MATCH(AI$2, 原始数据!$A$3:$A$26, 0), MATCH($E68, 原始数据!$B$2:$H$2, 0))*0.95,"0.00%")</f>
        <v>50.00-59.38%</v>
      </c>
      <c r="AJ68" s="13"/>
      <c r="AV68" s="1" t="s">
        <v>409</v>
      </c>
    </row>
    <row r="69" spans="2:48" x14ac:dyDescent="0.2">
      <c r="B69">
        <f>ID编号[id编号]*1000+ROW()-6</f>
        <v>108063</v>
      </c>
      <c r="C69" s="1" t="s">
        <v>84</v>
      </c>
      <c r="D69">
        <v>3</v>
      </c>
      <c r="E69">
        <v>6</v>
      </c>
      <c r="F69">
        <v>3</v>
      </c>
      <c r="G69">
        <v>0</v>
      </c>
      <c r="I69" s="6"/>
      <c r="M69" s="13"/>
      <c r="N69" s="13"/>
      <c r="O69" s="13"/>
      <c r="P69" s="13"/>
      <c r="S69" s="13"/>
      <c r="T69" s="13"/>
      <c r="AA69" s="13"/>
      <c r="AC69" s="13"/>
      <c r="AD69" s="13"/>
      <c r="AF69" s="13" t="str">
        <f>INDEX(原始数据!$B$3:$H$26, MATCH(AF$2, 原始数据!$A$3:$A$26, 0), MATCH($E69, 原始数据!$B$2:$H$2, 0))*0.8&amp;"-"&amp;INDEX(原始数据!$B$3:$H$26, MATCH(AF$2, 原始数据!$A$3:$A$26, 0), MATCH($E69, 原始数据!$B$2:$H$2, 0))*0.95</f>
        <v>3.6-4.275</v>
      </c>
      <c r="AG69" s="13" t="str">
        <f>TEXT(INDEX(原始数据!$B$3:$H$26, MATCH(AG$2, 原始数据!$A$3:$A$26, 0), MATCH($E69, 原始数据!$B$2:$H$2, 0))*80,"0.00")&amp;"-"&amp;TEXT(INDEX(原始数据!$B$3:$H$26, MATCH(AG$2, 原始数据!$A$3:$A$26, 0), MATCH($E69, 原始数据!$B$2:$H$2, 0))*0.95,"0.00%")</f>
        <v>72.00-85.50%</v>
      </c>
      <c r="AH69" s="13"/>
      <c r="AJ69" s="13" t="str">
        <f>INDEX(原始数据!$B$3:$H$26, MATCH(AJ$2, 原始数据!$A$3:$A$26, 0), MATCH($E69, 原始数据!$B$2:$H$2, 0))*0.8&amp;"-"&amp;INDEX(原始数据!$B$3:$H$26, MATCH(AJ$2, 原始数据!$A$3:$A$26, 0), MATCH($E69, 原始数据!$B$2:$H$2, 0))*0.95</f>
        <v>3.6-4.275</v>
      </c>
      <c r="AK69" s="13" t="str">
        <f>TEXT(INDEX(原始数据!$B$3:$H$26, MATCH(AK$2, 原始数据!$A$3:$A$26, 0), MATCH($E69, 原始数据!$B$2:$H$2, 0))*80,"0.00")&amp;"-"&amp;TEXT(INDEX(原始数据!$B$3:$H$26, MATCH(AK$2, 原始数据!$A$3:$A$26, 0), MATCH($E69, 原始数据!$B$2:$H$2, 0))*0.95,"0.00%")</f>
        <v>72.00-85.50%</v>
      </c>
      <c r="AV69" s="1" t="s">
        <v>410</v>
      </c>
    </row>
    <row r="70" spans="2:48" x14ac:dyDescent="0.2">
      <c r="B70">
        <f>ID编号[id编号]*1000+ROW()-6</f>
        <v>108064</v>
      </c>
      <c r="C70" s="1" t="s">
        <v>77</v>
      </c>
      <c r="D70">
        <v>3</v>
      </c>
      <c r="E70">
        <v>6</v>
      </c>
      <c r="F70">
        <v>4</v>
      </c>
      <c r="G70">
        <v>0</v>
      </c>
      <c r="I70" s="6"/>
      <c r="M70" s="13"/>
      <c r="N70" s="13"/>
      <c r="O70" s="13"/>
      <c r="P70" s="13"/>
      <c r="S70" s="13"/>
      <c r="T70" s="13"/>
      <c r="W70" s="13" t="str">
        <f>TEXT(INDEX(原始数据!$B$3:$H$26, MATCH(W$2, 原始数据!$A$3:$A$26, 0), MATCH($E70, 原始数据!$B$2:$H$2, 0))*80,"0.00")&amp;"-"&amp;TEXT(INDEX(原始数据!$B$3:$H$26, MATCH(W$2, 原始数据!$A$3:$A$26, 0), MATCH($E70, 原始数据!$B$2:$H$2, 0))*0.95,"0.00%")</f>
        <v>4.80-5.70%</v>
      </c>
      <c r="X70" s="13" t="str">
        <f>TEXT(INDEX(原始数据!$B$3:$H$26, MATCH(X$2, 原始数据!$A$3:$A$26, 0), MATCH($E70, 原始数据!$B$2:$H$2, 0))*80,"0.00")&amp;"-"&amp;TEXT(INDEX(原始数据!$B$3:$H$26, MATCH(X$2, 原始数据!$A$3:$A$26, 0), MATCH($E70, 原始数据!$B$2:$H$2, 0))*0.95,"0.00%")</f>
        <v>4.80-5.70%</v>
      </c>
      <c r="Y70" s="13" t="str">
        <f>TEXT(INDEX(原始数据!$B$3:$H$26, MATCH(Y$2, 原始数据!$A$3:$A$26, 0), MATCH($E70, 原始数据!$B$2:$H$2, 0))*80,"0.00")&amp;"-"&amp;TEXT(INDEX(原始数据!$B$3:$H$26, MATCH(Y$2, 原始数据!$A$3:$A$26, 0), MATCH($E70, 原始数据!$B$2:$H$2, 0))*0.95,"0.00%")</f>
        <v>6.00-7.13%</v>
      </c>
      <c r="Z70" s="13" t="str">
        <f>TEXT(INDEX(原始数据!$B$3:$H$26, MATCH(Z$2, 原始数据!$A$3:$A$26, 0), MATCH($E70, 原始数据!$B$2:$H$2, 0))*80,"0.00")&amp;"-"&amp;TEXT(INDEX(原始数据!$B$3:$H$26, MATCH(Z$2, 原始数据!$A$3:$A$26, 0), MATCH($E70, 原始数据!$B$2:$H$2, 0))*0.95,"0.00%")</f>
        <v>24.00-28.50%</v>
      </c>
      <c r="AA70" s="13"/>
      <c r="AC70" s="13"/>
      <c r="AD70" s="13"/>
      <c r="AF70" s="13"/>
      <c r="AH70" s="13"/>
      <c r="AJ70" s="13"/>
      <c r="AV70" s="1" t="s">
        <v>411</v>
      </c>
    </row>
    <row r="71" spans="2:48" x14ac:dyDescent="0.2">
      <c r="B71">
        <f>ID编号[id编号]*1000+ROW()-6</f>
        <v>108065</v>
      </c>
      <c r="C71" s="1" t="s">
        <v>69</v>
      </c>
      <c r="D71">
        <v>3</v>
      </c>
      <c r="E71">
        <v>6</v>
      </c>
      <c r="F71">
        <v>5</v>
      </c>
      <c r="G71">
        <v>0</v>
      </c>
      <c r="I71" s="6"/>
      <c r="M71" s="13"/>
      <c r="N71" s="13"/>
      <c r="O71" s="13"/>
      <c r="P71" s="13"/>
      <c r="S71" s="13"/>
      <c r="T71" s="13"/>
      <c r="AA71" s="13"/>
      <c r="AC71" s="13"/>
      <c r="AD71" s="13" t="str">
        <f>INDEX(原始数据!$B$3:$H$26, MATCH(AD$2, 原始数据!$A$3:$A$26, 0), MATCH($E71, 原始数据!$B$2:$H$2, 0))*0.8&amp;"-"&amp;INDEX(原始数据!$B$3:$H$26, MATCH(AD$2, 原始数据!$A$3:$A$26, 0), MATCH($E71, 原始数据!$B$2:$H$2, 0))*0.95</f>
        <v>72-85.5</v>
      </c>
      <c r="AE71" s="13" t="str">
        <f>TEXT(INDEX(原始数据!$B$3:$H$26, MATCH(AE$2, 原始数据!$A$3:$A$26, 0), MATCH($E71, 原始数据!$B$2:$H$2, 0))*80,"0.00")&amp;"-"&amp;TEXT(INDEX(原始数据!$B$3:$H$26, MATCH(AE$2, 原始数据!$A$3:$A$26, 0), MATCH($E71, 原始数据!$B$2:$H$2, 0))*0.95,"0.00%")</f>
        <v>72.00-85.50%</v>
      </c>
      <c r="AF71" s="13"/>
      <c r="AH71" s="13" t="str">
        <f>INDEX(原始数据!$B$3:$H$26, MATCH(AH$2, 原始数据!$A$3:$A$26, 0), MATCH($E71, 原始数据!$B$2:$H$2, 0))*0.8&amp;"-"&amp;INDEX(原始数据!$B$3:$H$26, MATCH(AH$2, 原始数据!$A$3:$A$26, 0), MATCH($E71, 原始数据!$B$2:$H$2, 0))*0.95</f>
        <v>72-85.5</v>
      </c>
      <c r="AI71" s="13" t="str">
        <f>TEXT(INDEX(原始数据!$B$3:$H$26, MATCH(AI$2, 原始数据!$A$3:$A$26, 0), MATCH($E71, 原始数据!$B$2:$H$2, 0))*80,"0.00")&amp;"-"&amp;TEXT(INDEX(原始数据!$B$3:$H$26, MATCH(AI$2, 原始数据!$A$3:$A$26, 0), MATCH($E71, 原始数据!$B$2:$H$2, 0))*0.95,"0.00%")</f>
        <v>60.00-71.25%</v>
      </c>
      <c r="AJ71" s="13"/>
      <c r="AV71" s="1" t="s">
        <v>412</v>
      </c>
    </row>
    <row r="72" spans="2:48" x14ac:dyDescent="0.2">
      <c r="B72">
        <f>ID编号[id编号]*1000+ROW()-6</f>
        <v>108066</v>
      </c>
      <c r="C72" s="1" t="s">
        <v>85</v>
      </c>
      <c r="D72">
        <v>3</v>
      </c>
      <c r="E72">
        <v>7</v>
      </c>
      <c r="F72">
        <v>3</v>
      </c>
      <c r="G72">
        <v>0</v>
      </c>
      <c r="I72" s="6"/>
      <c r="M72" s="13"/>
      <c r="N72" s="13"/>
      <c r="O72" s="13"/>
      <c r="P72" s="13"/>
      <c r="S72" s="13"/>
      <c r="T72" s="13"/>
      <c r="AA72" s="13"/>
      <c r="AC72" s="13"/>
      <c r="AD72" s="13"/>
      <c r="AF72" s="13" t="str">
        <f>INDEX(原始数据!$B$3:$H$26, MATCH(AF$2, 原始数据!$A$3:$A$26, 0), MATCH($E72, 原始数据!$B$2:$H$2, 0))*0.8&amp;"-"&amp;INDEX(原始数据!$B$3:$H$26, MATCH(AF$2, 原始数据!$A$3:$A$26, 0), MATCH($E72, 原始数据!$B$2:$H$2, 0))*0.95</f>
        <v>3.9-4.63125</v>
      </c>
      <c r="AG72" s="13" t="str">
        <f>TEXT(INDEX(原始数据!$B$3:$H$26, MATCH(AG$2, 原始数据!$A$3:$A$26, 0), MATCH($E72, 原始数据!$B$2:$H$2, 0))*80,"0.00")&amp;"-"&amp;TEXT(INDEX(原始数据!$B$3:$H$26, MATCH(AG$2, 原始数据!$A$3:$A$26, 0), MATCH($E72, 原始数据!$B$2:$H$2, 0))*0.95,"0.00%")</f>
        <v>78.00-92.63%</v>
      </c>
      <c r="AH72" s="13"/>
      <c r="AJ72" s="13" t="str">
        <f>INDEX(原始数据!$B$3:$H$26, MATCH(AJ$2, 原始数据!$A$3:$A$26, 0), MATCH($E72, 原始数据!$B$2:$H$2, 0))*0.8&amp;"-"&amp;INDEX(原始数据!$B$3:$H$26, MATCH(AJ$2, 原始数据!$A$3:$A$26, 0), MATCH($E72, 原始数据!$B$2:$H$2, 0))*0.95</f>
        <v>3.9-4.63125</v>
      </c>
      <c r="AK72" s="13" t="str">
        <f>TEXT(INDEX(原始数据!$B$3:$H$26, MATCH(AK$2, 原始数据!$A$3:$A$26, 0), MATCH($E72, 原始数据!$B$2:$H$2, 0))*80,"0.00")&amp;"-"&amp;TEXT(INDEX(原始数据!$B$3:$H$26, MATCH(AK$2, 原始数据!$A$3:$A$26, 0), MATCH($E72, 原始数据!$B$2:$H$2, 0))*0.95,"0.00%")</f>
        <v>78.00-92.63%</v>
      </c>
      <c r="AV72" s="1" t="s">
        <v>413</v>
      </c>
    </row>
    <row r="73" spans="2:48" x14ac:dyDescent="0.2">
      <c r="B73">
        <f>ID编号[id编号]*1000+ROW()-6</f>
        <v>108067</v>
      </c>
      <c r="C73" s="1" t="s">
        <v>78</v>
      </c>
      <c r="D73">
        <v>3</v>
      </c>
      <c r="E73">
        <v>7</v>
      </c>
      <c r="F73">
        <v>4</v>
      </c>
      <c r="G73">
        <v>0</v>
      </c>
      <c r="I73" s="6"/>
      <c r="M73" s="13"/>
      <c r="N73" s="13"/>
      <c r="O73" s="13"/>
      <c r="P73" s="13"/>
      <c r="S73" s="13"/>
      <c r="T73" s="13"/>
      <c r="W73" s="13" t="str">
        <f>TEXT(INDEX(原始数据!$B$3:$H$26, MATCH(W$2, 原始数据!$A$3:$A$26, 0), MATCH($E73, 原始数据!$B$2:$H$2, 0))*80,"0.00")&amp;"-"&amp;TEXT(INDEX(原始数据!$B$3:$H$26, MATCH(W$2, 原始数据!$A$3:$A$26, 0), MATCH($E73, 原始数据!$B$2:$H$2, 0))*0.95,"0.00%")</f>
        <v>5.20-6.18%</v>
      </c>
      <c r="X73" s="13" t="str">
        <f>TEXT(INDEX(原始数据!$B$3:$H$26, MATCH(X$2, 原始数据!$A$3:$A$26, 0), MATCH($E73, 原始数据!$B$2:$H$2, 0))*80,"0.00")&amp;"-"&amp;TEXT(INDEX(原始数据!$B$3:$H$26, MATCH(X$2, 原始数据!$A$3:$A$26, 0), MATCH($E73, 原始数据!$B$2:$H$2, 0))*0.95,"0.00%")</f>
        <v>5.20-6.18%</v>
      </c>
      <c r="Y73" s="13" t="str">
        <f>TEXT(INDEX(原始数据!$B$3:$H$26, MATCH(Y$2, 原始数据!$A$3:$A$26, 0), MATCH($E73, 原始数据!$B$2:$H$2, 0))*80,"0.00")&amp;"-"&amp;TEXT(INDEX(原始数据!$B$3:$H$26, MATCH(Y$2, 原始数据!$A$3:$A$26, 0), MATCH($E73, 原始数据!$B$2:$H$2, 0))*0.95,"0.00%")</f>
        <v>6.50-7.72%</v>
      </c>
      <c r="Z73" s="13" t="str">
        <f>TEXT(INDEX(原始数据!$B$3:$H$26, MATCH(Z$2, 原始数据!$A$3:$A$26, 0), MATCH($E73, 原始数据!$B$2:$H$2, 0))*80,"0.00")&amp;"-"&amp;TEXT(INDEX(原始数据!$B$3:$H$26, MATCH(Z$2, 原始数据!$A$3:$A$26, 0), MATCH($E73, 原始数据!$B$2:$H$2, 0))*0.95,"0.00%")</f>
        <v>26.00-30.88%</v>
      </c>
      <c r="AA73" s="13"/>
      <c r="AC73" s="13"/>
      <c r="AD73" s="13"/>
      <c r="AF73" s="13"/>
      <c r="AH73" s="13"/>
      <c r="AJ73" s="13"/>
      <c r="AV73" s="1" t="s">
        <v>414</v>
      </c>
    </row>
    <row r="74" spans="2:48" x14ac:dyDescent="0.2">
      <c r="B74">
        <f>ID编号[id编号]*1000+ROW()-6</f>
        <v>108068</v>
      </c>
      <c r="C74" s="1" t="s">
        <v>70</v>
      </c>
      <c r="D74">
        <v>3</v>
      </c>
      <c r="E74">
        <v>7</v>
      </c>
      <c r="F74">
        <v>5</v>
      </c>
      <c r="G74">
        <v>0</v>
      </c>
      <c r="I74" s="6"/>
      <c r="M74" s="13"/>
      <c r="N74" s="13"/>
      <c r="O74" s="13"/>
      <c r="P74" s="13"/>
      <c r="S74" s="13"/>
      <c r="T74" s="13"/>
      <c r="AA74" s="13"/>
      <c r="AC74" s="13"/>
      <c r="AD74" s="13" t="str">
        <f>INDEX(原始数据!$B$3:$H$26, MATCH(AD$2, 原始数据!$A$3:$A$26, 0), MATCH($E74, 原始数据!$B$2:$H$2, 0))*0.8&amp;"-"&amp;INDEX(原始数据!$B$3:$H$26, MATCH(AD$2, 原始数据!$A$3:$A$26, 0), MATCH($E74, 原始数据!$B$2:$H$2, 0))*0.95</f>
        <v>78-92.625</v>
      </c>
      <c r="AE74" s="13" t="str">
        <f>TEXT(INDEX(原始数据!$B$3:$H$26, MATCH(AE$2, 原始数据!$A$3:$A$26, 0), MATCH($E74, 原始数据!$B$2:$H$2, 0))*80,"0.00")&amp;"-"&amp;TEXT(INDEX(原始数据!$B$3:$H$26, MATCH(AE$2, 原始数据!$A$3:$A$26, 0), MATCH($E74, 原始数据!$B$2:$H$2, 0))*0.95,"0.00%")</f>
        <v>65.00-77.19%</v>
      </c>
      <c r="AF74" s="13"/>
      <c r="AH74" s="13" t="str">
        <f>INDEX(原始数据!$B$3:$H$26, MATCH(AH$2, 原始数据!$A$3:$A$26, 0), MATCH($E74, 原始数据!$B$2:$H$2, 0))*0.8&amp;"-"&amp;INDEX(原始数据!$B$3:$H$26, MATCH(AH$2, 原始数据!$A$3:$A$26, 0), MATCH($E74, 原始数据!$B$2:$H$2, 0))*0.95</f>
        <v>78-92.625</v>
      </c>
      <c r="AI74" s="13" t="str">
        <f>TEXT(INDEX(原始数据!$B$3:$H$26, MATCH(AI$2, 原始数据!$A$3:$A$26, 0), MATCH($E74, 原始数据!$B$2:$H$2, 0))*80,"0.00")&amp;"-"&amp;TEXT(INDEX(原始数据!$B$3:$H$26, MATCH(AI$2, 原始数据!$A$3:$A$26, 0), MATCH($E74, 原始数据!$B$2:$H$2, 0))*0.95,"0.00%")</f>
        <v>65.00-77.19%</v>
      </c>
      <c r="AJ74" s="13"/>
      <c r="AV74" s="1" t="s">
        <v>415</v>
      </c>
    </row>
    <row r="75" spans="2:48" x14ac:dyDescent="0.2">
      <c r="B75">
        <f>ID编号[id编号]*1000+ROW()-6</f>
        <v>108069</v>
      </c>
      <c r="C75" s="1" t="s">
        <v>112</v>
      </c>
      <c r="D75">
        <v>3</v>
      </c>
      <c r="E75">
        <v>2</v>
      </c>
      <c r="F75">
        <v>5</v>
      </c>
      <c r="G75">
        <v>1</v>
      </c>
      <c r="I75" s="6"/>
      <c r="AD75" s="13" t="str">
        <f>INDEX(原始数据!$B$3:$H$26, MATCH(AD$2, 原始数据!$A$3:$A$26, 0), MATCH($E75, 原始数据!$B$2:$H$2, 0))*0.85&amp;"-"&amp;INDEX(原始数据!$B$3:$H$26, MATCH(AD$2, 原始数据!$A$3:$A$26, 0), MATCH($E75, 原始数据!$B$2:$H$2, 0))</f>
        <v>25.5-30</v>
      </c>
      <c r="AE75" s="13" t="str">
        <f>TEXT(INDEX(原始数据!$B$3:$H$26, MATCH(AE$2, 原始数据!$A$3:$A$26, 0), MATCH($E75, 原始数据!$B$2:$H$2, 0))*85,"0.00")&amp;"-"&amp;TEXT(INDEX(原始数据!$B$3:$H$26, MATCH(AE$2, 原始数据!$A$3:$A$26, 0), MATCH($E75, 原始数据!$B$2:$H$2, 0))*1,"0.00%")</f>
        <v>21.25-25.00%</v>
      </c>
      <c r="AF75" s="13"/>
      <c r="AH75" s="13" t="str">
        <f>INDEX(原始数据!$B$3:$H$26, MATCH(AH$2, 原始数据!$A$3:$A$26, 0), MATCH($E75, 原始数据!$B$2:$H$2, 0))*0.85&amp;"-"&amp;INDEX(原始数据!$B$3:$H$26, MATCH(AH$2, 原始数据!$A$3:$A$26, 0), MATCH($E75, 原始数据!$B$2:$H$2, 0))</f>
        <v>25.5-30</v>
      </c>
      <c r="AI75" s="13" t="str">
        <f>TEXT(INDEX(原始数据!$B$3:$H$26, MATCH(AI$2, 原始数据!$A$3:$A$26, 0), MATCH($E75, 原始数据!$B$2:$H$2, 0))*85,"0.00")&amp;"-"&amp;TEXT(INDEX(原始数据!$B$3:$H$26, MATCH(AI$2, 原始数据!$A$3:$A$26, 0), MATCH($E75, 原始数据!$B$2:$H$2, 0))*1,"0.00%")</f>
        <v>21.25-25.00%</v>
      </c>
      <c r="AV75" s="1" t="s">
        <v>149</v>
      </c>
    </row>
    <row r="76" spans="2:48" x14ac:dyDescent="0.2">
      <c r="B76">
        <f>ID编号[id编号]*1000+ROW()-6</f>
        <v>108070</v>
      </c>
      <c r="C76" s="1" t="s">
        <v>113</v>
      </c>
      <c r="D76">
        <v>3</v>
      </c>
      <c r="E76">
        <v>3</v>
      </c>
      <c r="F76">
        <v>5</v>
      </c>
      <c r="G76">
        <v>1</v>
      </c>
      <c r="I76" s="6"/>
      <c r="AD76" s="13" t="str">
        <f>INDEX(原始数据!$B$3:$H$26, MATCH(AD$2, 原始数据!$A$3:$A$26, 0), MATCH($E76, 原始数据!$B$2:$H$2, 0))*0.85&amp;"-"&amp;INDEX(原始数据!$B$3:$H$26, MATCH(AD$2, 原始数据!$A$3:$A$26, 0), MATCH($E76, 原始数据!$B$2:$H$2, 0))</f>
        <v>38.25-45</v>
      </c>
      <c r="AE76" s="13" t="str">
        <f>TEXT(INDEX(原始数据!$B$3:$H$26, MATCH(AE$2, 原始数据!$A$3:$A$26, 0), MATCH($E76, 原始数据!$B$2:$H$2, 0))*85,"0.00")&amp;"-"&amp;TEXT(INDEX(原始数据!$B$3:$H$26, MATCH(AE$2, 原始数据!$A$3:$A$26, 0), MATCH($E76, 原始数据!$B$2:$H$2, 0))*1,"0.00%")</f>
        <v>31.88-37.50%</v>
      </c>
      <c r="AF76" s="13"/>
      <c r="AH76" s="13" t="str">
        <f>INDEX(原始数据!$B$3:$H$26, MATCH(AH$2, 原始数据!$A$3:$A$26, 0), MATCH($E76, 原始数据!$B$2:$H$2, 0))*0.85&amp;"-"&amp;INDEX(原始数据!$B$3:$H$26, MATCH(AH$2, 原始数据!$A$3:$A$26, 0), MATCH($E76, 原始数据!$B$2:$H$2, 0))</f>
        <v>38.25-45</v>
      </c>
      <c r="AI76" s="13" t="str">
        <f>TEXT(INDEX(原始数据!$B$3:$H$26, MATCH(AI$2, 原始数据!$A$3:$A$26, 0), MATCH($E76, 原始数据!$B$2:$H$2, 0))*85,"0.00")&amp;"-"&amp;TEXT(INDEX(原始数据!$B$3:$H$26, MATCH(AI$2, 原始数据!$A$3:$A$26, 0), MATCH($E76, 原始数据!$B$2:$H$2, 0))*1,"0.00%")</f>
        <v>31.88-37.50%</v>
      </c>
      <c r="AV76" s="1" t="s">
        <v>150</v>
      </c>
    </row>
    <row r="77" spans="2:48" x14ac:dyDescent="0.2">
      <c r="B77">
        <f>ID编号[id编号]*1000+ROW()-6</f>
        <v>108071</v>
      </c>
      <c r="C77" s="1" t="s">
        <v>114</v>
      </c>
      <c r="D77">
        <v>3</v>
      </c>
      <c r="E77">
        <v>4</v>
      </c>
      <c r="F77">
        <v>5</v>
      </c>
      <c r="G77">
        <v>1</v>
      </c>
      <c r="I77" s="6"/>
      <c r="AD77" s="13" t="str">
        <f>INDEX(原始数据!$B$3:$H$26, MATCH(AD$2, 原始数据!$A$3:$A$26, 0), MATCH($E77, 原始数据!$B$2:$H$2, 0))*0.85&amp;"-"&amp;INDEX(原始数据!$B$3:$H$26, MATCH(AD$2, 原始数据!$A$3:$A$26, 0), MATCH($E77, 原始数据!$B$2:$H$2, 0))</f>
        <v>51-60</v>
      </c>
      <c r="AE77" s="13" t="str">
        <f>TEXT(INDEX(原始数据!$B$3:$H$26, MATCH(AE$2, 原始数据!$A$3:$A$26, 0), MATCH($E77, 原始数据!$B$2:$H$2, 0))*85,"0.00")&amp;"-"&amp;TEXT(INDEX(原始数据!$B$3:$H$26, MATCH(AE$2, 原始数据!$A$3:$A$26, 0), MATCH($E77, 原始数据!$B$2:$H$2, 0))*1,"0.00%")</f>
        <v>42.50-50.00%</v>
      </c>
      <c r="AF77" s="13"/>
      <c r="AH77" s="13" t="str">
        <f>INDEX(原始数据!$B$3:$H$26, MATCH(AH$2, 原始数据!$A$3:$A$26, 0), MATCH($E77, 原始数据!$B$2:$H$2, 0))*0.85&amp;"-"&amp;INDEX(原始数据!$B$3:$H$26, MATCH(AH$2, 原始数据!$A$3:$A$26, 0), MATCH($E77, 原始数据!$B$2:$H$2, 0))</f>
        <v>51-60</v>
      </c>
      <c r="AI77" s="13" t="str">
        <f>TEXT(INDEX(原始数据!$B$3:$H$26, MATCH(AI$2, 原始数据!$A$3:$A$26, 0), MATCH($E77, 原始数据!$B$2:$H$2, 0))*85,"0.00")&amp;"-"&amp;TEXT(INDEX(原始数据!$B$3:$H$26, MATCH(AI$2, 原始数据!$A$3:$A$26, 0), MATCH($E77, 原始数据!$B$2:$H$2, 0))*1,"0.00%")</f>
        <v>42.50-50.00%</v>
      </c>
      <c r="AV77" s="1" t="s">
        <v>151</v>
      </c>
    </row>
    <row r="78" spans="2:48" x14ac:dyDescent="0.2">
      <c r="B78">
        <f>ID编号[id编号]*1000+ROW()-6</f>
        <v>108072</v>
      </c>
      <c r="C78" s="1" t="s">
        <v>115</v>
      </c>
      <c r="D78">
        <v>3</v>
      </c>
      <c r="E78">
        <v>5</v>
      </c>
      <c r="F78">
        <v>5</v>
      </c>
      <c r="G78">
        <v>1</v>
      </c>
      <c r="I78" s="6"/>
      <c r="AD78" s="13" t="str">
        <f>INDEX(原始数据!$B$3:$H$26, MATCH(AD$2, 原始数据!$A$3:$A$26, 0), MATCH($E78, 原始数据!$B$2:$H$2, 0))*0.85&amp;"-"&amp;INDEX(原始数据!$B$3:$H$26, MATCH(AD$2, 原始数据!$A$3:$A$26, 0), MATCH($E78, 原始数据!$B$2:$H$2, 0))</f>
        <v>63.75-75</v>
      </c>
      <c r="AE78" s="13" t="str">
        <f>TEXT(INDEX(原始数据!$B$3:$H$26, MATCH(AE$2, 原始数据!$A$3:$A$26, 0), MATCH($E78, 原始数据!$B$2:$H$2, 0))*85,"0.00")&amp;"-"&amp;TEXT(INDEX(原始数据!$B$3:$H$26, MATCH(AE$2, 原始数据!$A$3:$A$26, 0), MATCH($E78, 原始数据!$B$2:$H$2, 0))*1,"0.00%")</f>
        <v>53.13-62.50%</v>
      </c>
      <c r="AF78" s="13"/>
      <c r="AH78" s="13" t="str">
        <f>INDEX(原始数据!$B$3:$H$26, MATCH(AH$2, 原始数据!$A$3:$A$26, 0), MATCH($E78, 原始数据!$B$2:$H$2, 0))*0.85&amp;"-"&amp;INDEX(原始数据!$B$3:$H$26, MATCH(AH$2, 原始数据!$A$3:$A$26, 0), MATCH($E78, 原始数据!$B$2:$H$2, 0))</f>
        <v>63.75-75</v>
      </c>
      <c r="AI78" s="13" t="str">
        <f>TEXT(INDEX(原始数据!$B$3:$H$26, MATCH(AI$2, 原始数据!$A$3:$A$26, 0), MATCH($E78, 原始数据!$B$2:$H$2, 0))*85,"0.00")&amp;"-"&amp;TEXT(INDEX(原始数据!$B$3:$H$26, MATCH(AI$2, 原始数据!$A$3:$A$26, 0), MATCH($E78, 原始数据!$B$2:$H$2, 0))*1,"0.00%")</f>
        <v>53.13-62.50%</v>
      </c>
      <c r="AV78" s="1" t="s">
        <v>152</v>
      </c>
    </row>
    <row r="79" spans="2:48" x14ac:dyDescent="0.2">
      <c r="B79">
        <f>ID编号[id编号]*1000+ROW()-6</f>
        <v>108073</v>
      </c>
      <c r="C79" s="1" t="s">
        <v>116</v>
      </c>
      <c r="D79">
        <v>3</v>
      </c>
      <c r="E79">
        <v>6</v>
      </c>
      <c r="F79">
        <v>5</v>
      </c>
      <c r="G79">
        <v>1</v>
      </c>
      <c r="I79" s="6"/>
      <c r="AD79" s="13" t="str">
        <f>INDEX(原始数据!$B$3:$H$26, MATCH(AD$2, 原始数据!$A$3:$A$26, 0), MATCH($E79, 原始数据!$B$2:$H$2, 0))*0.85&amp;"-"&amp;INDEX(原始数据!$B$3:$H$26, MATCH(AD$2, 原始数据!$A$3:$A$26, 0), MATCH($E79, 原始数据!$B$2:$H$2, 0))</f>
        <v>76.5-90</v>
      </c>
      <c r="AE79" s="13" t="str">
        <f>TEXT(INDEX(原始数据!$B$3:$H$26, MATCH(AE$2, 原始数据!$A$3:$A$26, 0), MATCH($E79, 原始数据!$B$2:$H$2, 0))*85,"0.00")&amp;"-"&amp;TEXT(INDEX(原始数据!$B$3:$H$26, MATCH(AE$2, 原始数据!$A$3:$A$26, 0), MATCH($E79, 原始数据!$B$2:$H$2, 0))*1,"0.00%")</f>
        <v>76.50-90.00%</v>
      </c>
      <c r="AF79" s="13"/>
      <c r="AH79" s="13" t="str">
        <f>INDEX(原始数据!$B$3:$H$26, MATCH(AH$2, 原始数据!$A$3:$A$26, 0), MATCH($E79, 原始数据!$B$2:$H$2, 0))*0.85&amp;"-"&amp;INDEX(原始数据!$B$3:$H$26, MATCH(AH$2, 原始数据!$A$3:$A$26, 0), MATCH($E79, 原始数据!$B$2:$H$2, 0))</f>
        <v>76.5-90</v>
      </c>
      <c r="AI79" s="13" t="str">
        <f>TEXT(INDEX(原始数据!$B$3:$H$26, MATCH(AI$2, 原始数据!$A$3:$A$26, 0), MATCH($E79, 原始数据!$B$2:$H$2, 0))*85,"0.00")&amp;"-"&amp;TEXT(INDEX(原始数据!$B$3:$H$26, MATCH(AI$2, 原始数据!$A$3:$A$26, 0), MATCH($E79, 原始数据!$B$2:$H$2, 0))*1,"0.00%")</f>
        <v>63.75-75.00%</v>
      </c>
      <c r="AV79" s="1" t="s">
        <v>153</v>
      </c>
    </row>
    <row r="80" spans="2:48" x14ac:dyDescent="0.2">
      <c r="B80">
        <f>ID编号[id编号]*1000+ROW()-6</f>
        <v>108074</v>
      </c>
      <c r="C80" s="1" t="s">
        <v>117</v>
      </c>
      <c r="D80">
        <v>1</v>
      </c>
      <c r="E80">
        <v>2</v>
      </c>
      <c r="F80">
        <v>7</v>
      </c>
      <c r="G80">
        <v>1</v>
      </c>
      <c r="I80" s="6"/>
      <c r="W80" s="13" t="str">
        <f>TEXT(INDEX(原始数据!$B$3:$H$26, MATCH(W$2, 原始数据!$A$3:$A$26, 0), MATCH($E80, 原始数据!$B$2:$H$2, 0))*85,"0.00")&amp;"-"&amp;TEXT(INDEX(原始数据!$B$3:$H$26, MATCH(W$2, 原始数据!$A$3:$A$26, 0), MATCH($E80, 原始数据!$B$2:$H$2, 0))*1,"0.00%")</f>
        <v>1.70-2.00%</v>
      </c>
      <c r="X80" s="13" t="str">
        <f>TEXT(INDEX(原始数据!$B$3:$H$26, MATCH(X$2, 原始数据!$A$3:$A$26, 0), MATCH($E80, 原始数据!$B$2:$H$2, 0))*85,"0.00")&amp;"-"&amp;TEXT(INDEX(原始数据!$B$3:$H$26, MATCH(X$2, 原始数据!$A$3:$A$26, 0), MATCH($E80, 原始数据!$B$2:$H$2, 0))*1,"0.00%")</f>
        <v>1.70-2.00%</v>
      </c>
      <c r="Y80" s="13" t="str">
        <f>TEXT(INDEX(原始数据!$B$3:$H$26, MATCH(Y$2, 原始数据!$A$3:$A$26, 0), MATCH($E80, 原始数据!$B$2:$H$2, 0))*85,"0.00")&amp;"-"&amp;TEXT(INDEX(原始数据!$B$3:$H$26, MATCH(Y$2, 原始数据!$A$3:$A$26, 0), MATCH($E80, 原始数据!$B$2:$H$2, 0))*1,"0.00%")</f>
        <v>2.13-2.50%</v>
      </c>
      <c r="Z80" s="13" t="str">
        <f>TEXT(INDEX(原始数据!$B$3:$H$26, MATCH(Z$2, 原始数据!$A$3:$A$26, 0), MATCH($E80, 原始数据!$B$2:$H$2, 0))*85,"0.00")&amp;"-"&amp;TEXT(INDEX(原始数据!$B$3:$H$26, MATCH(Z$2, 原始数据!$A$3:$A$26, 0), MATCH($E80, 原始数据!$B$2:$H$2, 0))*1,"0.00%")</f>
        <v>8.50-10.00%</v>
      </c>
      <c r="AA80" s="13"/>
      <c r="AC80" s="13"/>
      <c r="AD80" s="13" t="str">
        <f>INDEX(原始数据!$B$3:$H$26, MATCH(AD$2, 原始数据!$A$3:$A$26, 0), MATCH($E80, 原始数据!$B$2:$H$2, 0))*0.85&amp;"-"&amp;INDEX(原始数据!$B$3:$H$26, MATCH(AD$2, 原始数据!$A$3:$A$26, 0), MATCH($E80, 原始数据!$B$2:$H$2, 0))*1</f>
        <v>25.5-30</v>
      </c>
      <c r="AE80" s="13" t="str">
        <f>TEXT(INDEX(原始数据!$B$3:$H$26, MATCH(AE$2, 原始数据!$A$3:$A$26, 0), MATCH($E80, 原始数据!$B$2:$H$2, 0))*85,"0.00")&amp;"-"&amp;TEXT(INDEX(原始数据!$B$3:$H$26, MATCH(AE$2, 原始数据!$A$3:$A$26, 0), MATCH($E80, 原始数据!$B$2:$H$2, 0))*1,"0.00%")</f>
        <v>21.25-25.00%</v>
      </c>
      <c r="AF80" s="13" t="str">
        <f>INDEX(原始数据!$B$3:$H$26, MATCH(AF$2, 原始数据!$A$3:$A$26, 0), MATCH($E80, 原始数据!$B$2:$H$2, 0))*0.85&amp;"-"&amp;INDEX(原始数据!$B$3:$H$26, MATCH(AF$2, 原始数据!$A$3:$A$26, 0), MATCH($E80, 原始数据!$B$2:$H$2, 0))*1</f>
        <v>1.275-1.5</v>
      </c>
      <c r="AG80" s="13" t="str">
        <f>TEXT(INDEX(原始数据!$B$3:$H$26, MATCH(AG$2, 原始数据!$A$3:$A$26, 0), MATCH($E80, 原始数据!$B$2:$H$2, 0))*85,"0.00")&amp;"-"&amp;TEXT(INDEX(原始数据!$B$3:$H$26, MATCH(AG$2, 原始数据!$A$3:$A$26, 0), MATCH($E80, 原始数据!$B$2:$H$2, 0))*1,"0.00%")</f>
        <v>25.50-30.00%</v>
      </c>
      <c r="AH80" s="13" t="str">
        <f>INDEX(原始数据!$B$3:$H$26, MATCH(AH$2, 原始数据!$A$3:$A$26, 0), MATCH($E80, 原始数据!$B$2:$H$2, 0))*0.85&amp;"-"&amp;INDEX(原始数据!$B$3:$H$26, MATCH(AH$2, 原始数据!$A$3:$A$26, 0), MATCH($E80, 原始数据!$B$2:$H$2, 0))*1</f>
        <v>25.5-30</v>
      </c>
      <c r="AI80" s="13" t="str">
        <f>TEXT(INDEX(原始数据!$B$3:$H$26, MATCH(AI$2, 原始数据!$A$3:$A$26, 0), MATCH($E80, 原始数据!$B$2:$H$2, 0))*85,"0.00")&amp;"-"&amp;TEXT(INDEX(原始数据!$B$3:$H$26, MATCH(AI$2, 原始数据!$A$3:$A$26, 0), MATCH($E80, 原始数据!$B$2:$H$2, 0))*1,"0.00%")</f>
        <v>21.25-25.00%</v>
      </c>
      <c r="AJ80" s="13" t="str">
        <f>INDEX(原始数据!$B$3:$H$26, MATCH(AJ$2, 原始数据!$A$3:$A$26, 0), MATCH($E80, 原始数据!$B$2:$H$2, 0))*0.85&amp;"-"&amp;INDEX(原始数据!$B$3:$H$26, MATCH(AJ$2, 原始数据!$A$3:$A$26, 0), MATCH($E80, 原始数据!$B$2:$H$2, 0))*1</f>
        <v>1.275-1.5</v>
      </c>
      <c r="AK80" s="13" t="str">
        <f>TEXT(INDEX(原始数据!$B$3:$H$26, MATCH(AK$2, 原始数据!$A$3:$A$26, 0), MATCH($E80, 原始数据!$B$2:$H$2, 0))*85,"0.00")&amp;"-"&amp;TEXT(INDEX(原始数据!$B$3:$H$26, MATCH(AK$2, 原始数据!$A$3:$A$26, 0), MATCH($E80, 原始数据!$B$2:$H$2, 0))*1,"0.00%")</f>
        <v>25.50-30.00%</v>
      </c>
      <c r="AV80" s="1" t="s">
        <v>154</v>
      </c>
    </row>
    <row r="81" spans="2:48" x14ac:dyDescent="0.2">
      <c r="B81">
        <f>ID编号[id编号]*1000+ROW()-6</f>
        <v>108075</v>
      </c>
      <c r="C81" s="1" t="s">
        <v>118</v>
      </c>
      <c r="D81">
        <v>1</v>
      </c>
      <c r="E81">
        <v>3</v>
      </c>
      <c r="F81">
        <v>7</v>
      </c>
      <c r="G81">
        <v>1</v>
      </c>
      <c r="I81" s="6"/>
      <c r="W81" s="13" t="str">
        <f>TEXT(INDEX(原始数据!$B$3:$H$26, MATCH(W$2, 原始数据!$A$3:$A$26, 0), MATCH($E81, 原始数据!$B$2:$H$2, 0))*85,"0.00")&amp;"-"&amp;TEXT(INDEX(原始数据!$B$3:$H$26, MATCH(W$2, 原始数据!$A$3:$A$26, 0), MATCH($E81, 原始数据!$B$2:$H$2, 0))*1,"0.00%")</f>
        <v>2.55-3.00%</v>
      </c>
      <c r="X81" s="13" t="str">
        <f>TEXT(INDEX(原始数据!$B$3:$H$26, MATCH(X$2, 原始数据!$A$3:$A$26, 0), MATCH($E81, 原始数据!$B$2:$H$2, 0))*85,"0.00")&amp;"-"&amp;TEXT(INDEX(原始数据!$B$3:$H$26, MATCH(X$2, 原始数据!$A$3:$A$26, 0), MATCH($E81, 原始数据!$B$2:$H$2, 0))*1,"0.00%")</f>
        <v>2.55-3.00%</v>
      </c>
      <c r="Y81" s="13" t="str">
        <f>TEXT(INDEX(原始数据!$B$3:$H$26, MATCH(Y$2, 原始数据!$A$3:$A$26, 0), MATCH($E81, 原始数据!$B$2:$H$2, 0))*85,"0.00")&amp;"-"&amp;TEXT(INDEX(原始数据!$B$3:$H$26, MATCH(Y$2, 原始数据!$A$3:$A$26, 0), MATCH($E81, 原始数据!$B$2:$H$2, 0))*1,"0.00%")</f>
        <v>3.19-3.75%</v>
      </c>
      <c r="Z81" s="13" t="str">
        <f>TEXT(INDEX(原始数据!$B$3:$H$26, MATCH(Z$2, 原始数据!$A$3:$A$26, 0), MATCH($E81, 原始数据!$B$2:$H$2, 0))*85,"0.00")&amp;"-"&amp;TEXT(INDEX(原始数据!$B$3:$H$26, MATCH(Z$2, 原始数据!$A$3:$A$26, 0), MATCH($E81, 原始数据!$B$2:$H$2, 0))*1,"0.00%")</f>
        <v>12.75-15.00%</v>
      </c>
      <c r="AA81" s="13"/>
      <c r="AC81" s="13"/>
      <c r="AD81" s="13" t="str">
        <f>INDEX(原始数据!$B$3:$H$26, MATCH(AD$2, 原始数据!$A$3:$A$26, 0), MATCH($E81, 原始数据!$B$2:$H$2, 0))*0.85&amp;"-"&amp;INDEX(原始数据!$B$3:$H$26, MATCH(AD$2, 原始数据!$A$3:$A$26, 0), MATCH($E81, 原始数据!$B$2:$H$2, 0))*1</f>
        <v>38.25-45</v>
      </c>
      <c r="AE81" s="13" t="str">
        <f>TEXT(INDEX(原始数据!$B$3:$H$26, MATCH(AE$2, 原始数据!$A$3:$A$26, 0), MATCH($E81, 原始数据!$B$2:$H$2, 0))*85,"0.00")&amp;"-"&amp;TEXT(INDEX(原始数据!$B$3:$H$26, MATCH(AE$2, 原始数据!$A$3:$A$26, 0), MATCH($E81, 原始数据!$B$2:$H$2, 0))*1,"0.00%")</f>
        <v>31.88-37.50%</v>
      </c>
      <c r="AF81" s="13" t="str">
        <f>INDEX(原始数据!$B$3:$H$26, MATCH(AF$2, 原始数据!$A$3:$A$26, 0), MATCH($E81, 原始数据!$B$2:$H$2, 0))*0.85&amp;"-"&amp;INDEX(原始数据!$B$3:$H$26, MATCH(AF$2, 原始数据!$A$3:$A$26, 0), MATCH($E81, 原始数据!$B$2:$H$2, 0))*1</f>
        <v>1.9125-2.25</v>
      </c>
      <c r="AG81" s="13" t="str">
        <f>TEXT(INDEX(原始数据!$B$3:$H$26, MATCH(AG$2, 原始数据!$A$3:$A$26, 0), MATCH($E81, 原始数据!$B$2:$H$2, 0))*85,"0.00")&amp;"-"&amp;TEXT(INDEX(原始数据!$B$3:$H$26, MATCH(AG$2, 原始数据!$A$3:$A$26, 0), MATCH($E81, 原始数据!$B$2:$H$2, 0))*1,"0.00%")</f>
        <v>38.25-45.00%</v>
      </c>
      <c r="AH81" s="13" t="str">
        <f>INDEX(原始数据!$B$3:$H$26, MATCH(AH$2, 原始数据!$A$3:$A$26, 0), MATCH($E81, 原始数据!$B$2:$H$2, 0))*0.85&amp;"-"&amp;INDEX(原始数据!$B$3:$H$26, MATCH(AH$2, 原始数据!$A$3:$A$26, 0), MATCH($E81, 原始数据!$B$2:$H$2, 0))*1</f>
        <v>38.25-45</v>
      </c>
      <c r="AI81" s="13" t="str">
        <f>TEXT(INDEX(原始数据!$B$3:$H$26, MATCH(AI$2, 原始数据!$A$3:$A$26, 0), MATCH($E81, 原始数据!$B$2:$H$2, 0))*85,"0.00")&amp;"-"&amp;TEXT(INDEX(原始数据!$B$3:$H$26, MATCH(AI$2, 原始数据!$A$3:$A$26, 0), MATCH($E81, 原始数据!$B$2:$H$2, 0))*1,"0.00%")</f>
        <v>31.88-37.50%</v>
      </c>
      <c r="AJ81" s="13" t="str">
        <f>INDEX(原始数据!$B$3:$H$26, MATCH(AJ$2, 原始数据!$A$3:$A$26, 0), MATCH($E81, 原始数据!$B$2:$H$2, 0))*0.85&amp;"-"&amp;INDEX(原始数据!$B$3:$H$26, MATCH(AJ$2, 原始数据!$A$3:$A$26, 0), MATCH($E81, 原始数据!$B$2:$H$2, 0))*1</f>
        <v>1.9125-2.25</v>
      </c>
      <c r="AK81" s="13" t="str">
        <f>TEXT(INDEX(原始数据!$B$3:$H$26, MATCH(AK$2, 原始数据!$A$3:$A$26, 0), MATCH($E81, 原始数据!$B$2:$H$2, 0))*85,"0.00")&amp;"-"&amp;TEXT(INDEX(原始数据!$B$3:$H$26, MATCH(AK$2, 原始数据!$A$3:$A$26, 0), MATCH($E81, 原始数据!$B$2:$H$2, 0))*1,"0.00%")</f>
        <v>38.25-45.00%</v>
      </c>
      <c r="AV81" s="1" t="s">
        <v>155</v>
      </c>
    </row>
    <row r="82" spans="2:48" x14ac:dyDescent="0.2">
      <c r="B82">
        <f>ID编号[id编号]*1000+ROW()-6</f>
        <v>108076</v>
      </c>
      <c r="C82" s="1" t="s">
        <v>119</v>
      </c>
      <c r="D82">
        <v>1</v>
      </c>
      <c r="E82">
        <v>4</v>
      </c>
      <c r="F82">
        <v>7</v>
      </c>
      <c r="G82">
        <v>1</v>
      </c>
      <c r="W82" s="13" t="str">
        <f>TEXT(INDEX(原始数据!$B$3:$H$26, MATCH(W$2, 原始数据!$A$3:$A$26, 0), MATCH($E82, 原始数据!$B$2:$H$2, 0))*85,"0.00")&amp;"-"&amp;TEXT(INDEX(原始数据!$B$3:$H$26, MATCH(W$2, 原始数据!$A$3:$A$26, 0), MATCH($E82, 原始数据!$B$2:$H$2, 0))*1,"0.00%")</f>
        <v>3.40-4.00%</v>
      </c>
      <c r="X82" s="13" t="str">
        <f>TEXT(INDEX(原始数据!$B$3:$H$26, MATCH(X$2, 原始数据!$A$3:$A$26, 0), MATCH($E82, 原始数据!$B$2:$H$2, 0))*85,"0.00")&amp;"-"&amp;TEXT(INDEX(原始数据!$B$3:$H$26, MATCH(X$2, 原始数据!$A$3:$A$26, 0), MATCH($E82, 原始数据!$B$2:$H$2, 0))*1,"0.00%")</f>
        <v>3.40-4.00%</v>
      </c>
      <c r="Y82" s="13" t="str">
        <f>TEXT(INDEX(原始数据!$B$3:$H$26, MATCH(Y$2, 原始数据!$A$3:$A$26, 0), MATCH($E82, 原始数据!$B$2:$H$2, 0))*85,"0.00")&amp;"-"&amp;TEXT(INDEX(原始数据!$B$3:$H$26, MATCH(Y$2, 原始数据!$A$3:$A$26, 0), MATCH($E82, 原始数据!$B$2:$H$2, 0))*1,"0.00%")</f>
        <v>4.25-5.00%</v>
      </c>
      <c r="Z82" s="13" t="str">
        <f>TEXT(INDEX(原始数据!$B$3:$H$26, MATCH(Z$2, 原始数据!$A$3:$A$26, 0), MATCH($E82, 原始数据!$B$2:$H$2, 0))*85,"0.00")&amp;"-"&amp;TEXT(INDEX(原始数据!$B$3:$H$26, MATCH(Z$2, 原始数据!$A$3:$A$26, 0), MATCH($E82, 原始数据!$B$2:$H$2, 0))*1,"0.00%")</f>
        <v>17.00-20.00%</v>
      </c>
      <c r="AA82" s="13"/>
      <c r="AC82" s="13"/>
      <c r="AD82" s="13" t="str">
        <f>INDEX(原始数据!$B$3:$H$26, MATCH(AD$2, 原始数据!$A$3:$A$26, 0), MATCH($E82, 原始数据!$B$2:$H$2, 0))*0.85&amp;"-"&amp;INDEX(原始数据!$B$3:$H$26, MATCH(AD$2, 原始数据!$A$3:$A$26, 0), MATCH($E82, 原始数据!$B$2:$H$2, 0))*1</f>
        <v>51-60</v>
      </c>
      <c r="AE82" s="13" t="str">
        <f>TEXT(INDEX(原始数据!$B$3:$H$26, MATCH(AE$2, 原始数据!$A$3:$A$26, 0), MATCH($E82, 原始数据!$B$2:$H$2, 0))*85,"0.00")&amp;"-"&amp;TEXT(INDEX(原始数据!$B$3:$H$26, MATCH(AE$2, 原始数据!$A$3:$A$26, 0), MATCH($E82, 原始数据!$B$2:$H$2, 0))*1,"0.00%")</f>
        <v>42.50-50.00%</v>
      </c>
      <c r="AF82" s="13" t="str">
        <f>INDEX(原始数据!$B$3:$H$26, MATCH(AF$2, 原始数据!$A$3:$A$26, 0), MATCH($E82, 原始数据!$B$2:$H$2, 0))*0.85&amp;"-"&amp;INDEX(原始数据!$B$3:$H$26, MATCH(AF$2, 原始数据!$A$3:$A$26, 0), MATCH($E82, 原始数据!$B$2:$H$2, 0))*1</f>
        <v>2.55-3</v>
      </c>
      <c r="AG82" s="13" t="str">
        <f>TEXT(INDEX(原始数据!$B$3:$H$26, MATCH(AG$2, 原始数据!$A$3:$A$26, 0), MATCH($E82, 原始数据!$B$2:$H$2, 0))*85,"0.00")&amp;"-"&amp;TEXT(INDEX(原始数据!$B$3:$H$26, MATCH(AG$2, 原始数据!$A$3:$A$26, 0), MATCH($E82, 原始数据!$B$2:$H$2, 0))*1,"0.00%")</f>
        <v>51.00-60.00%</v>
      </c>
      <c r="AH82" s="13" t="str">
        <f>INDEX(原始数据!$B$3:$H$26, MATCH(AH$2, 原始数据!$A$3:$A$26, 0), MATCH($E82, 原始数据!$B$2:$H$2, 0))*0.85&amp;"-"&amp;INDEX(原始数据!$B$3:$H$26, MATCH(AH$2, 原始数据!$A$3:$A$26, 0), MATCH($E82, 原始数据!$B$2:$H$2, 0))*1</f>
        <v>51-60</v>
      </c>
      <c r="AI82" s="13" t="str">
        <f>TEXT(INDEX(原始数据!$B$3:$H$26, MATCH(AI$2, 原始数据!$A$3:$A$26, 0), MATCH($E82, 原始数据!$B$2:$H$2, 0))*85,"0.00")&amp;"-"&amp;TEXT(INDEX(原始数据!$B$3:$H$26, MATCH(AI$2, 原始数据!$A$3:$A$26, 0), MATCH($E82, 原始数据!$B$2:$H$2, 0))*1,"0.00%")</f>
        <v>42.50-50.00%</v>
      </c>
      <c r="AJ82" s="13" t="str">
        <f>INDEX(原始数据!$B$3:$H$26, MATCH(AJ$2, 原始数据!$A$3:$A$26, 0), MATCH($E82, 原始数据!$B$2:$H$2, 0))*0.85&amp;"-"&amp;INDEX(原始数据!$B$3:$H$26, MATCH(AJ$2, 原始数据!$A$3:$A$26, 0), MATCH($E82, 原始数据!$B$2:$H$2, 0))*1</f>
        <v>2.55-3</v>
      </c>
      <c r="AK82" s="13" t="str">
        <f>TEXT(INDEX(原始数据!$B$3:$H$26, MATCH(AK$2, 原始数据!$A$3:$A$26, 0), MATCH($E82, 原始数据!$B$2:$H$2, 0))*85,"0.00")&amp;"-"&amp;TEXT(INDEX(原始数据!$B$3:$H$26, MATCH(AK$2, 原始数据!$A$3:$A$26, 0), MATCH($E82, 原始数据!$B$2:$H$2, 0))*1,"0.00%")</f>
        <v>51.00-60.00%</v>
      </c>
      <c r="AV82" s="1" t="s">
        <v>156</v>
      </c>
    </row>
    <row r="83" spans="2:48" x14ac:dyDescent="0.2">
      <c r="B83">
        <f>ID编号[id编号]*1000+ROW()-6</f>
        <v>108077</v>
      </c>
      <c r="C83" s="1" t="s">
        <v>120</v>
      </c>
      <c r="D83">
        <v>1</v>
      </c>
      <c r="E83">
        <v>5</v>
      </c>
      <c r="F83">
        <v>7</v>
      </c>
      <c r="G83">
        <v>1</v>
      </c>
      <c r="W83" s="13" t="str">
        <f>TEXT(INDEX(原始数据!$B$3:$H$26, MATCH(W$2, 原始数据!$A$3:$A$26, 0), MATCH($E83, 原始数据!$B$2:$H$2, 0))*85,"0.00")&amp;"-"&amp;TEXT(INDEX(原始数据!$B$3:$H$26, MATCH(W$2, 原始数据!$A$3:$A$26, 0), MATCH($E83, 原始数据!$B$2:$H$2, 0))*1,"0.00%")</f>
        <v>4.25-5.00%</v>
      </c>
      <c r="X83" s="13" t="str">
        <f>TEXT(INDEX(原始数据!$B$3:$H$26, MATCH(X$2, 原始数据!$A$3:$A$26, 0), MATCH($E83, 原始数据!$B$2:$H$2, 0))*85,"0.00")&amp;"-"&amp;TEXT(INDEX(原始数据!$B$3:$H$26, MATCH(X$2, 原始数据!$A$3:$A$26, 0), MATCH($E83, 原始数据!$B$2:$H$2, 0))*1,"0.00%")</f>
        <v>4.25-5.00%</v>
      </c>
      <c r="Y83" s="13" t="str">
        <f>TEXT(INDEX(原始数据!$B$3:$H$26, MATCH(Y$2, 原始数据!$A$3:$A$26, 0), MATCH($E83, 原始数据!$B$2:$H$2, 0))*85,"0.00")&amp;"-"&amp;TEXT(INDEX(原始数据!$B$3:$H$26, MATCH(Y$2, 原始数据!$A$3:$A$26, 0), MATCH($E83, 原始数据!$B$2:$H$2, 0))*1,"0.00%")</f>
        <v>5.31-6.25%</v>
      </c>
      <c r="Z83" s="13" t="str">
        <f>TEXT(INDEX(原始数据!$B$3:$H$26, MATCH(Z$2, 原始数据!$A$3:$A$26, 0), MATCH($E83, 原始数据!$B$2:$H$2, 0))*85,"0.00")&amp;"-"&amp;TEXT(INDEX(原始数据!$B$3:$H$26, MATCH(Z$2, 原始数据!$A$3:$A$26, 0), MATCH($E83, 原始数据!$B$2:$H$2, 0))*1,"0.00%")</f>
        <v>21.25-25.00%</v>
      </c>
      <c r="AA83" s="13"/>
      <c r="AC83" s="13"/>
      <c r="AD83" s="13" t="str">
        <f>INDEX(原始数据!$B$3:$H$26, MATCH(AD$2, 原始数据!$A$3:$A$26, 0), MATCH($E83, 原始数据!$B$2:$H$2, 0))*0.85&amp;"-"&amp;INDEX(原始数据!$B$3:$H$26, MATCH(AD$2, 原始数据!$A$3:$A$26, 0), MATCH($E83, 原始数据!$B$2:$H$2, 0))*1</f>
        <v>63.75-75</v>
      </c>
      <c r="AE83" s="13" t="str">
        <f>TEXT(INDEX(原始数据!$B$3:$H$26, MATCH(AE$2, 原始数据!$A$3:$A$26, 0), MATCH($E83, 原始数据!$B$2:$H$2, 0))*85,"0.00")&amp;"-"&amp;TEXT(INDEX(原始数据!$B$3:$H$26, MATCH(AE$2, 原始数据!$A$3:$A$26, 0), MATCH($E83, 原始数据!$B$2:$H$2, 0))*1,"0.00%")</f>
        <v>53.13-62.50%</v>
      </c>
      <c r="AF83" s="13" t="str">
        <f>INDEX(原始数据!$B$3:$H$26, MATCH(AF$2, 原始数据!$A$3:$A$26, 0), MATCH($E83, 原始数据!$B$2:$H$2, 0))*0.85&amp;"-"&amp;INDEX(原始数据!$B$3:$H$26, MATCH(AF$2, 原始数据!$A$3:$A$26, 0), MATCH($E83, 原始数据!$B$2:$H$2, 0))*1</f>
        <v>3.1875-3.75</v>
      </c>
      <c r="AG83" s="13" t="str">
        <f>TEXT(INDEX(原始数据!$B$3:$H$26, MATCH(AG$2, 原始数据!$A$3:$A$26, 0), MATCH($E83, 原始数据!$B$2:$H$2, 0))*85,"0.00")&amp;"-"&amp;TEXT(INDEX(原始数据!$B$3:$H$26, MATCH(AG$2, 原始数据!$A$3:$A$26, 0), MATCH($E83, 原始数据!$B$2:$H$2, 0))*1,"0.00%")</f>
        <v>63.75-75.00%</v>
      </c>
      <c r="AH83" s="13" t="str">
        <f>INDEX(原始数据!$B$3:$H$26, MATCH(AH$2, 原始数据!$A$3:$A$26, 0), MATCH($E83, 原始数据!$B$2:$H$2, 0))*0.85&amp;"-"&amp;INDEX(原始数据!$B$3:$H$26, MATCH(AH$2, 原始数据!$A$3:$A$26, 0), MATCH($E83, 原始数据!$B$2:$H$2, 0))*1</f>
        <v>63.75-75</v>
      </c>
      <c r="AI83" s="13" t="str">
        <f>TEXT(INDEX(原始数据!$B$3:$H$26, MATCH(AI$2, 原始数据!$A$3:$A$26, 0), MATCH($E83, 原始数据!$B$2:$H$2, 0))*85,"0.00")&amp;"-"&amp;TEXT(INDEX(原始数据!$B$3:$H$26, MATCH(AI$2, 原始数据!$A$3:$A$26, 0), MATCH($E83, 原始数据!$B$2:$H$2, 0))*1,"0.00%")</f>
        <v>53.13-62.50%</v>
      </c>
      <c r="AJ83" s="13" t="str">
        <f>INDEX(原始数据!$B$3:$H$26, MATCH(AJ$2, 原始数据!$A$3:$A$26, 0), MATCH($E83, 原始数据!$B$2:$H$2, 0))*0.85&amp;"-"&amp;INDEX(原始数据!$B$3:$H$26, MATCH(AJ$2, 原始数据!$A$3:$A$26, 0), MATCH($E83, 原始数据!$B$2:$H$2, 0))*1</f>
        <v>3.1875-3.75</v>
      </c>
      <c r="AK83" s="13" t="str">
        <f>TEXT(INDEX(原始数据!$B$3:$H$26, MATCH(AK$2, 原始数据!$A$3:$A$26, 0), MATCH($E83, 原始数据!$B$2:$H$2, 0))*85,"0.00")&amp;"-"&amp;TEXT(INDEX(原始数据!$B$3:$H$26, MATCH(AK$2, 原始数据!$A$3:$A$26, 0), MATCH($E83, 原始数据!$B$2:$H$2, 0))*1,"0.00%")</f>
        <v>63.75-75.00%</v>
      </c>
      <c r="AV83" s="1" t="s">
        <v>157</v>
      </c>
    </row>
    <row r="84" spans="2:48" x14ac:dyDescent="0.2">
      <c r="B84">
        <f>ID编号[id编号]*1000+ROW()-6</f>
        <v>108078</v>
      </c>
      <c r="C84" s="1" t="s">
        <v>121</v>
      </c>
      <c r="D84">
        <v>1</v>
      </c>
      <c r="E84">
        <v>6</v>
      </c>
      <c r="F84">
        <v>7</v>
      </c>
      <c r="G84">
        <v>1</v>
      </c>
      <c r="W84" s="13" t="str">
        <f>TEXT(INDEX(原始数据!$B$3:$H$26, MATCH(W$2, 原始数据!$A$3:$A$26, 0), MATCH($E84, 原始数据!$B$2:$H$2, 0))*85,"0.00")&amp;"-"&amp;TEXT(INDEX(原始数据!$B$3:$H$26, MATCH(W$2, 原始数据!$A$3:$A$26, 0), MATCH($E84, 原始数据!$B$2:$H$2, 0))*1,"0.00%")</f>
        <v>5.10-6.00%</v>
      </c>
      <c r="X84" s="13" t="str">
        <f>TEXT(INDEX(原始数据!$B$3:$H$26, MATCH(X$2, 原始数据!$A$3:$A$26, 0), MATCH($E84, 原始数据!$B$2:$H$2, 0))*85,"0.00")&amp;"-"&amp;TEXT(INDEX(原始数据!$B$3:$H$26, MATCH(X$2, 原始数据!$A$3:$A$26, 0), MATCH($E84, 原始数据!$B$2:$H$2, 0))*1,"0.00%")</f>
        <v>5.10-6.00%</v>
      </c>
      <c r="Y84" s="13" t="str">
        <f>TEXT(INDEX(原始数据!$B$3:$H$26, MATCH(Y$2, 原始数据!$A$3:$A$26, 0), MATCH($E84, 原始数据!$B$2:$H$2, 0))*85,"0.00")&amp;"-"&amp;TEXT(INDEX(原始数据!$B$3:$H$26, MATCH(Y$2, 原始数据!$A$3:$A$26, 0), MATCH($E84, 原始数据!$B$2:$H$2, 0))*1,"0.00%")</f>
        <v>6.38-7.50%</v>
      </c>
      <c r="Z84" s="13" t="str">
        <f>TEXT(INDEX(原始数据!$B$3:$H$26, MATCH(Z$2, 原始数据!$A$3:$A$26, 0), MATCH($E84, 原始数据!$B$2:$H$2, 0))*85,"0.00")&amp;"-"&amp;TEXT(INDEX(原始数据!$B$3:$H$26, MATCH(Z$2, 原始数据!$A$3:$A$26, 0), MATCH($E84, 原始数据!$B$2:$H$2, 0))*1,"0.00%")</f>
        <v>25.50-30.00%</v>
      </c>
      <c r="AA84" s="13"/>
      <c r="AC84" s="13"/>
      <c r="AD84" s="13" t="str">
        <f>INDEX(原始数据!$B$3:$H$26, MATCH(AD$2, 原始数据!$A$3:$A$26, 0), MATCH($E84, 原始数据!$B$2:$H$2, 0))*0.85&amp;"-"&amp;INDEX(原始数据!$B$3:$H$26, MATCH(AD$2, 原始数据!$A$3:$A$26, 0), MATCH($E84, 原始数据!$B$2:$H$2, 0))*1</f>
        <v>76.5-90</v>
      </c>
      <c r="AE84" s="13" t="str">
        <f>TEXT(INDEX(原始数据!$B$3:$H$26, MATCH(AE$2, 原始数据!$A$3:$A$26, 0), MATCH($E84, 原始数据!$B$2:$H$2, 0))*85,"0.00")&amp;"-"&amp;TEXT(INDEX(原始数据!$B$3:$H$26, MATCH(AE$2, 原始数据!$A$3:$A$26, 0), MATCH($E84, 原始数据!$B$2:$H$2, 0))*1,"0.00%")</f>
        <v>76.50-90.00%</v>
      </c>
      <c r="AF84" s="13" t="str">
        <f>INDEX(原始数据!$B$3:$H$26, MATCH(AF$2, 原始数据!$A$3:$A$26, 0), MATCH($E84, 原始数据!$B$2:$H$2, 0))*0.85&amp;"-"&amp;INDEX(原始数据!$B$3:$H$26, MATCH(AF$2, 原始数据!$A$3:$A$26, 0), MATCH($E84, 原始数据!$B$2:$H$2, 0))*1</f>
        <v>3.825-4.5</v>
      </c>
      <c r="AG84" s="13" t="str">
        <f>TEXT(INDEX(原始数据!$B$3:$H$26, MATCH(AG$2, 原始数据!$A$3:$A$26, 0), MATCH($E84, 原始数据!$B$2:$H$2, 0))*85,"0.00")&amp;"-"&amp;TEXT(INDEX(原始数据!$B$3:$H$26, MATCH(AG$2, 原始数据!$A$3:$A$26, 0), MATCH($E84, 原始数据!$B$2:$H$2, 0))*1,"0.00%")</f>
        <v>76.50-90.00%</v>
      </c>
      <c r="AH84" s="13" t="str">
        <f>INDEX(原始数据!$B$3:$H$26, MATCH(AH$2, 原始数据!$A$3:$A$26, 0), MATCH($E84, 原始数据!$B$2:$H$2, 0))*0.85&amp;"-"&amp;INDEX(原始数据!$B$3:$H$26, MATCH(AH$2, 原始数据!$A$3:$A$26, 0), MATCH($E84, 原始数据!$B$2:$H$2, 0))*1</f>
        <v>76.5-90</v>
      </c>
      <c r="AI84" s="13" t="str">
        <f>TEXT(INDEX(原始数据!$B$3:$H$26, MATCH(AI$2, 原始数据!$A$3:$A$26, 0), MATCH($E84, 原始数据!$B$2:$H$2, 0))*85,"0.00")&amp;"-"&amp;TEXT(INDEX(原始数据!$B$3:$H$26, MATCH(AI$2, 原始数据!$A$3:$A$26, 0), MATCH($E84, 原始数据!$B$2:$H$2, 0))*1,"0.00%")</f>
        <v>63.75-75.00%</v>
      </c>
      <c r="AJ84" s="13" t="str">
        <f>INDEX(原始数据!$B$3:$H$26, MATCH(AJ$2, 原始数据!$A$3:$A$26, 0), MATCH($E84, 原始数据!$B$2:$H$2, 0))*0.85&amp;"-"&amp;INDEX(原始数据!$B$3:$H$26, MATCH(AJ$2, 原始数据!$A$3:$A$26, 0), MATCH($E84, 原始数据!$B$2:$H$2, 0))*1</f>
        <v>3.825-4.5</v>
      </c>
      <c r="AK84" s="13" t="str">
        <f>TEXT(INDEX(原始数据!$B$3:$H$26, MATCH(AK$2, 原始数据!$A$3:$A$26, 0), MATCH($E84, 原始数据!$B$2:$H$2, 0))*85,"0.00")&amp;"-"&amp;TEXT(INDEX(原始数据!$B$3:$H$26, MATCH(AK$2, 原始数据!$A$3:$A$26, 0), MATCH($E84, 原始数据!$B$2:$H$2, 0))*1,"0.00%")</f>
        <v>76.50-90.00%</v>
      </c>
      <c r="AV84" s="1" t="s">
        <v>158</v>
      </c>
    </row>
    <row r="85" spans="2:48" x14ac:dyDescent="0.2">
      <c r="B85">
        <f>ID编号[id编号]*1000+ROW()-6</f>
        <v>108079</v>
      </c>
      <c r="C85" s="1" t="s">
        <v>122</v>
      </c>
      <c r="D85">
        <v>0</v>
      </c>
      <c r="E85">
        <v>1</v>
      </c>
      <c r="G85">
        <v>1</v>
      </c>
      <c r="I85" s="13"/>
      <c r="J85" s="13"/>
      <c r="M85" s="13"/>
      <c r="N85" s="13"/>
      <c r="O85" s="13"/>
      <c r="P85" s="13"/>
      <c r="S85" s="13"/>
      <c r="T85" s="13"/>
      <c r="AA85" s="13"/>
      <c r="AC85" s="13"/>
      <c r="AL85" s="13" t="str">
        <f>INDEX(原始数据!$K$2:$Q$7, MATCH("基础攻击力A", 原始数据!$J$2:$J$7, 0), MATCH($E85, 原始数据!$K$1:$Q$1, 0))&amp;"-"&amp;INDEX(原始数据!$K$2:$Q$7, MATCH("基础攻击力B", 原始数据!$J$2:$J$7, 0), MATCH($E85, 原始数据!$K$1:$Q$1, 0))</f>
        <v>27.66-68.13</v>
      </c>
      <c r="AM85" s="13" t="str">
        <f>INDEX(原始数据!$K$2:$Q$7, MATCH("基础攻击力A", 原始数据!$J$2:$J$7, 0), MATCH($E85, 原始数据!$K$1:$Q$1, 0))&amp;"-"&amp;INDEX(原始数据!$K$2:$Q$7, MATCH("基础攻击力B", 原始数据!$J$2:$J$7, 0), MATCH($E85, 原始数据!$K$1:$Q$1, 0))</f>
        <v>27.66-68.13</v>
      </c>
      <c r="AN85" s="13" t="str">
        <f>INDEX(原始数据!$K$2:$Q$7, MATCH("基础攻击力A", 原始数据!$J$2:$J$7, 0), MATCH($E85, 原始数据!$K$1:$Q$1, 0))&amp;"-"&amp;INDEX(原始数据!$K$2:$Q$7, MATCH("基础攻击力B", 原始数据!$J$2:$J$7, 0), MATCH($E85, 原始数据!$K$1:$Q$1, 0))</f>
        <v>27.66-68.13</v>
      </c>
      <c r="AO85" s="13" t="str">
        <f>INDEX(原始数据!$K$2:$Q$7, MATCH("基础攻击力A", 原始数据!$J$2:$J$7, 0), MATCH($E85, 原始数据!$K$1:$Q$1, 0))&amp;"-"&amp;INDEX(原始数据!$K$2:$Q$7, MATCH("基础攻击力B", 原始数据!$J$2:$J$7, 0), MATCH($E85, 原始数据!$K$1:$Q$1, 0))</f>
        <v>27.66-68.13</v>
      </c>
      <c r="AP85" s="13" t="str">
        <f>INDEX(原始数据!$K$2:$Q$7, MATCH("基础防御力A", 原始数据!$J$2:$J$7, 0), MATCH($E85, 原始数据!$K$1:$Q$1, 0))&amp;"-"&amp;INDEX(原始数据!$K$2:$Q$7, MATCH("基础防御力B", 原始数据!$J$2:$J$7, 0), MATCH($E85, 原始数据!$K$1:$Q$1, 0))</f>
        <v>30-90</v>
      </c>
      <c r="AQ85" s="13" t="str">
        <f>INDEX(原始数据!$K$2:$Q$7, MATCH("基础防御力A", 原始数据!$J$2:$J$7, 0), MATCH($E85, 原始数据!$K$1:$Q$1, 0))&amp;"-"&amp;INDEX(原始数据!$K$2:$Q$7, MATCH("基础防御力B", 原始数据!$J$2:$J$7, 0), MATCH($E85, 原始数据!$K$1:$Q$1, 0))</f>
        <v>30-90</v>
      </c>
      <c r="AR85" s="13" t="str">
        <f>INDEX(原始数据!$K$2:$Q$7, MATCH("基础防御力A", 原始数据!$J$2:$J$7, 0), MATCH($E85, 原始数据!$K$1:$Q$1, 0))&amp;"-"&amp;INDEX(原始数据!$K$2:$Q$7, MATCH("基础防御力B", 原始数据!$J$2:$J$7, 0), MATCH($E85, 原始数据!$K$1:$Q$1, 0))</f>
        <v>30-90</v>
      </c>
      <c r="AS85" s="13" t="str">
        <f>INDEX(原始数据!$K$2:$Q$7, MATCH("基础防御力A", 原始数据!$J$2:$J$7, 0), MATCH($E85, 原始数据!$K$1:$Q$1, 0))&amp;"-"&amp;INDEX(原始数据!$K$2:$Q$7, MATCH("基础防御力B", 原始数据!$J$2:$J$7, 0), MATCH($E85, 原始数据!$K$1:$Q$1, 0))</f>
        <v>30-90</v>
      </c>
      <c r="AT85" s="13" t="str">
        <f>INDEX(原始数据!$K$2:$Q$7, MATCH("基础生命值A", 原始数据!$J$2:$J$7, 0), MATCH($E85, 原始数据!$K$1:$Q$1, 0))&amp;"-"&amp;INDEX(原始数据!$K$2:$Q$7, MATCH("基础生命值B", 原始数据!$J$2:$J$7, 0), MATCH($E85, 原始数据!$K$1:$Q$1, 0))</f>
        <v>992.64-1474.3</v>
      </c>
      <c r="AU85" s="13" t="str">
        <f>INDEX(原始数据!$K$2:$Q$7, MATCH("基础生命值A", 原始数据!$J$2:$J$7, 0), MATCH($E85, 原始数据!$K$1:$Q$1, 0))&amp;"-"&amp;INDEX(原始数据!$K$2:$Q$7, MATCH("基础生命值B", 原始数据!$J$2:$J$7, 0), MATCH($E85, 原始数据!$K$1:$Q$1, 0))</f>
        <v>992.64-1474.3</v>
      </c>
      <c r="AV85" s="1" t="s">
        <v>159</v>
      </c>
    </row>
    <row r="86" spans="2:48" x14ac:dyDescent="0.2">
      <c r="B86">
        <f>ID编号[id编号]*1000+ROW()-6</f>
        <v>108080</v>
      </c>
      <c r="C86" s="1" t="s">
        <v>123</v>
      </c>
      <c r="D86">
        <v>0</v>
      </c>
      <c r="E86">
        <v>2</v>
      </c>
      <c r="G86">
        <v>1</v>
      </c>
      <c r="I86" s="13"/>
      <c r="J86" s="13"/>
      <c r="M86" s="13"/>
      <c r="N86" s="13"/>
      <c r="O86" s="13"/>
      <c r="P86" s="13"/>
      <c r="S86" s="13"/>
      <c r="T86" s="13"/>
      <c r="AA86" s="13"/>
      <c r="AC86" s="13"/>
      <c r="AL86" s="13" t="str">
        <f>INDEX(原始数据!$K$2:$Q$7, MATCH("基础攻击力A", 原始数据!$J$2:$J$7, 0), MATCH($E86, 原始数据!$K$1:$Q$1, 0))&amp;"-"&amp;INDEX(原始数据!$K$2:$Q$7, MATCH("基础攻击力B", 原始数据!$J$2:$J$7, 0), MATCH($E86, 原始数据!$K$1:$Q$1, 0))</f>
        <v>59.4-105.51</v>
      </c>
      <c r="AM86" s="13" t="str">
        <f>INDEX(原始数据!$K$2:$Q$7, MATCH("基础攻击力A", 原始数据!$J$2:$J$7, 0), MATCH($E86, 原始数据!$K$1:$Q$1, 0))&amp;"-"&amp;INDEX(原始数据!$K$2:$Q$7, MATCH("基础攻击力B", 原始数据!$J$2:$J$7, 0), MATCH($E86, 原始数据!$K$1:$Q$1, 0))</f>
        <v>59.4-105.51</v>
      </c>
      <c r="AN86" s="13" t="str">
        <f>INDEX(原始数据!$K$2:$Q$7, MATCH("基础攻击力A", 原始数据!$J$2:$J$7, 0), MATCH($E86, 原始数据!$K$1:$Q$1, 0))&amp;"-"&amp;INDEX(原始数据!$K$2:$Q$7, MATCH("基础攻击力B", 原始数据!$J$2:$J$7, 0), MATCH($E86, 原始数据!$K$1:$Q$1, 0))</f>
        <v>59.4-105.51</v>
      </c>
      <c r="AO86" s="13" t="str">
        <f>INDEX(原始数据!$K$2:$Q$7, MATCH("基础攻击力A", 原始数据!$J$2:$J$7, 0), MATCH($E86, 原始数据!$K$1:$Q$1, 0))&amp;"-"&amp;INDEX(原始数据!$K$2:$Q$7, MATCH("基础攻击力B", 原始数据!$J$2:$J$7, 0), MATCH($E86, 原始数据!$K$1:$Q$1, 0))</f>
        <v>59.4-105.51</v>
      </c>
      <c r="AP86" s="13" t="str">
        <f>INDEX(原始数据!$K$2:$Q$7, MATCH("基础防御力A", 原始数据!$J$2:$J$7, 0), MATCH($E86, 原始数据!$K$1:$Q$1, 0))&amp;"-"&amp;INDEX(原始数据!$K$2:$Q$7, MATCH("基础防御力B", 原始数据!$J$2:$J$7, 0), MATCH($E86, 原始数据!$K$1:$Q$1, 0))</f>
        <v>78-138</v>
      </c>
      <c r="AQ86" s="13" t="str">
        <f>INDEX(原始数据!$K$2:$Q$7, MATCH("基础防御力A", 原始数据!$J$2:$J$7, 0), MATCH($E86, 原始数据!$K$1:$Q$1, 0))&amp;"-"&amp;INDEX(原始数据!$K$2:$Q$7, MATCH("基础防御力B", 原始数据!$J$2:$J$7, 0), MATCH($E86, 原始数据!$K$1:$Q$1, 0))</f>
        <v>78-138</v>
      </c>
      <c r="AR86" s="13" t="str">
        <f>INDEX(原始数据!$K$2:$Q$7, MATCH("基础防御力A", 原始数据!$J$2:$J$7, 0), MATCH($E86, 原始数据!$K$1:$Q$1, 0))&amp;"-"&amp;INDEX(原始数据!$K$2:$Q$7, MATCH("基础防御力B", 原始数据!$J$2:$J$7, 0), MATCH($E86, 原始数据!$K$1:$Q$1, 0))</f>
        <v>78-138</v>
      </c>
      <c r="AS86" s="13" t="str">
        <f>INDEX(原始数据!$K$2:$Q$7, MATCH("基础防御力A", 原始数据!$J$2:$J$7, 0), MATCH($E86, 原始数据!$K$1:$Q$1, 0))&amp;"-"&amp;INDEX(原始数据!$K$2:$Q$7, MATCH("基础防御力B", 原始数据!$J$2:$J$7, 0), MATCH($E86, 原始数据!$K$1:$Q$1, 0))</f>
        <v>78-138</v>
      </c>
      <c r="AT86" s="13" t="str">
        <f>INDEX(原始数据!$K$2:$Q$7, MATCH("基础生命值A", 原始数据!$J$2:$J$7, 0), MATCH($E86, 原始数据!$K$1:$Q$1, 0))&amp;"-"&amp;INDEX(原始数据!$K$2:$Q$7, MATCH("基础生命值B", 原始数据!$J$2:$J$7, 0), MATCH($E86, 原始数据!$K$1:$Q$1, 0))</f>
        <v>1388.57-1846.12</v>
      </c>
      <c r="AU86" s="13" t="str">
        <f>INDEX(原始数据!$K$2:$Q$7, MATCH("基础生命值A", 原始数据!$J$2:$J$7, 0), MATCH($E86, 原始数据!$K$1:$Q$1, 0))&amp;"-"&amp;INDEX(原始数据!$K$2:$Q$7, MATCH("基础生命值B", 原始数据!$J$2:$J$7, 0), MATCH($E86, 原始数据!$K$1:$Q$1, 0))</f>
        <v>1388.57-1846.12</v>
      </c>
      <c r="AV86" s="1" t="s">
        <v>160</v>
      </c>
    </row>
    <row r="87" spans="2:48" x14ac:dyDescent="0.2">
      <c r="B87">
        <f>ID编号[id编号]*1000+ROW()-6</f>
        <v>108081</v>
      </c>
      <c r="C87" s="7" t="s">
        <v>124</v>
      </c>
      <c r="D87">
        <v>1</v>
      </c>
      <c r="E87">
        <v>6</v>
      </c>
      <c r="F87">
        <v>6</v>
      </c>
      <c r="G87">
        <v>2</v>
      </c>
      <c r="K87" s="13" t="str">
        <f>TEXT(INDEX(原始数据!$B$3:$H$26, MATCH(K$2, 原始数据!$A$3:$A$26, 0), MATCH($E87, 原始数据!$B$2:$H$2, 0))*80,"0.00")&amp;"-"&amp;TEXT(INDEX(原始数据!$B$3:$H$26, MATCH(K$2, 原始数据!$A$3:$A$26, 0), MATCH($E87, 原始数据!$B$2:$H$2, 0))*0.95,"0.00%")</f>
        <v>9.60-11.40%</v>
      </c>
      <c r="L87" s="13" t="str">
        <f>TEXT(INDEX(原始数据!$B$3:$H$26, MATCH(L$2, 原始数据!$A$3:$A$26, 0), MATCH($E87, 原始数据!$B$2:$H$2, 0))*85,"0.00")&amp;"-"&amp;TEXT(INDEX(原始数据!$B$3:$H$26, MATCH(L$2, 原始数据!$A$3:$A$26, 0), MATCH($E87, 原始数据!$B$2:$H$2, 0))*1,"0.00%")</f>
        <v>10.20-12.00%</v>
      </c>
      <c r="M87" s="13" t="str">
        <f>INDEX(原始数据!$B$3:$H$26, MATCH(M$2, 原始数据!$A$3:$A$26, 0), MATCH($E87, 原始数据!$B$2:$H$2, 0))*0.85&amp;"-"&amp;INDEX(原始数据!$B$3:$H$26, MATCH(M$2, 原始数据!$A$3:$A$26, 0), MATCH($E87, 原始数据!$B$2:$H$2, 0))*1</f>
        <v>38.25-45</v>
      </c>
      <c r="N87" s="13" t="str">
        <f>INDEX(原始数据!$B$3:$H$26, MATCH(N$2, 原始数据!$A$3:$A$26, 0), MATCH($E87, 原始数据!$B$2:$H$2, 0))*0.85&amp;"-"&amp;INDEX(原始数据!$B$3:$H$26, MATCH(N$2, 原始数据!$A$3:$A$26, 0), MATCH($E87, 原始数据!$B$2:$H$2, 0))*1</f>
        <v>38.25-45</v>
      </c>
      <c r="O87" s="13"/>
      <c r="P87" s="13"/>
      <c r="Q87" s="13" t="str">
        <f>TEXT(INDEX(原始数据!$B$3:$H$26, MATCH(Q$2, 原始数据!$A$3:$A$26, 0), MATCH($E87, 原始数据!$B$2:$H$2, 0))*85,"0.00")&amp;"-"&amp;TEXT(INDEX(原始数据!$B$3:$H$26, MATCH(Q$2, 原始数据!$A$3:$A$26, 0), MATCH($E87, 原始数据!$B$2:$H$2, 0))*1,"0.00%")</f>
        <v>10.20-12.00%</v>
      </c>
      <c r="R87" s="13" t="str">
        <f>TEXT(INDEX(原始数据!$B$3:$H$26, MATCH(R$2, 原始数据!$A$3:$A$26, 0), MATCH($E87, 原始数据!$B$2:$H$2, 0))*85,"0.00")&amp;"-"&amp;TEXT(INDEX(原始数据!$B$3:$H$26, MATCH(R$2, 原始数据!$A$3:$A$26, 0), MATCH($E87, 原始数据!$B$2:$H$2, 0))*1,"0.00%")</f>
        <v>10.20-12.00%</v>
      </c>
      <c r="S87" s="13" t="str">
        <f>INDEX(原始数据!$B$3:$H$26, MATCH(S$2, 原始数据!$A$3:$A$26, 0), MATCH($E87, 原始数据!$B$2:$H$2, 0))*0.85&amp;"-"&amp;INDEX(原始数据!$B$3:$H$26, MATCH(S$2, 原始数据!$A$3:$A$26, 0), MATCH($E87, 原始数据!$B$2:$H$2, 0))*1</f>
        <v>25.5-30</v>
      </c>
      <c r="T87" s="13" t="str">
        <f>INDEX(原始数据!$B$3:$H$26, MATCH(T$2, 原始数据!$A$3:$A$26, 0), MATCH($E87, 原始数据!$B$2:$H$2, 0))*0.85&amp;"-"&amp;INDEX(原始数据!$B$3:$H$26, MATCH(T$2, 原始数据!$A$3:$A$26, 0), MATCH($E87, 原始数据!$B$2:$H$2, 0))*1</f>
        <v>25.5-30</v>
      </c>
      <c r="U87" s="13" t="str">
        <f>INDEX(原始数据!$B$3:$H$26, MATCH(U$2, 原始数据!$A$3:$A$26, 0), MATCH($E87, 原始数据!$B$2:$H$2, 0))*0.85&amp;"-"&amp;INDEX(原始数据!$B$3:$H$26, MATCH(U$2, 原始数据!$A$3:$A$26, 0), MATCH($E87, 原始数据!$B$2:$H$2, 0))*1</f>
        <v>5.1-6</v>
      </c>
      <c r="V87" s="13" t="str">
        <f>INDEX(原始数据!$B$3:$H$26, MATCH(V$2, 原始数据!$A$3:$A$26, 0), MATCH($E87, 原始数据!$B$2:$H$2, 0))*0.85&amp;"-"&amp;INDEX(原始数据!$B$3:$H$26, MATCH(V$2, 原始数据!$A$3:$A$26, 0), MATCH($E87, 原始数据!$B$2:$H$2, 0))*1</f>
        <v>20.4-24</v>
      </c>
      <c r="AB87" s="13" t="str">
        <f>TEXT(INDEX(原始数据!$B$3:$H$26, MATCH(AB$2, 原始数据!$A$3:$A$26, 0), MATCH($E87, 原始数据!$B$2:$H$2, 0))*80,"0.00")&amp;"-"&amp;TEXT(INDEX(原始数据!$B$3:$H$26, MATCH(AB$2, 原始数据!$A$3:$A$26, 0), MATCH($E87, 原始数据!$B$2:$H$2, 0))*0.95,"0.00%")</f>
        <v>7.20-8.55%</v>
      </c>
      <c r="AC87" s="13" t="str">
        <f>INDEX(原始数据!$B$3:$H$26, MATCH(AC$2, 原始数据!$A$3:$A$26, 0), MATCH($E87, 原始数据!$B$2:$H$2, 0))*0.8&amp;"-"&amp;INDEX(原始数据!$B$3:$H$26, MATCH(AC$2, 原始数据!$A$3:$A$26, 0), MATCH($E87, 原始数据!$B$2:$H$2, 0))*0.95</f>
        <v>360-427.5</v>
      </c>
      <c r="AV87" s="1" t="s">
        <v>161</v>
      </c>
    </row>
    <row r="88" spans="2:48" x14ac:dyDescent="0.2">
      <c r="B88">
        <f>ID编号[id编号]*1000+ROW()-6</f>
        <v>108082</v>
      </c>
      <c r="C88" s="8" t="s">
        <v>125</v>
      </c>
      <c r="D88">
        <v>1</v>
      </c>
      <c r="E88">
        <v>6</v>
      </c>
      <c r="F88">
        <v>6</v>
      </c>
      <c r="G88">
        <v>2</v>
      </c>
      <c r="K88" s="13" t="str">
        <f>TEXT(INDEX(原始数据!$B$3:$H$26, MATCH(K$2, 原始数据!$A$3:$A$26, 0), MATCH($E88, 原始数据!$B$2:$H$2, 0))*85,"0.00")&amp;"-"&amp;TEXT(INDEX(原始数据!$B$3:$H$26, MATCH(K$2, 原始数据!$A$3:$A$26, 0), MATCH($E88, 原始数据!$B$2:$H$2, 0))*1,"0.00%")</f>
        <v>10.20-12.00%</v>
      </c>
      <c r="L88" s="13" t="str">
        <f>TEXT(INDEX(原始数据!$B$3:$H$26, MATCH(L$2, 原始数据!$A$3:$A$26, 0), MATCH($E88, 原始数据!$B$2:$H$2, 0))*85,"0.00")&amp;"-"&amp;TEXT(INDEX(原始数据!$B$3:$H$26, MATCH(L$2, 原始数据!$A$3:$A$26, 0), MATCH($E88, 原始数据!$B$2:$H$2, 0))*1,"0.00%")</f>
        <v>10.20-12.00%</v>
      </c>
      <c r="M88" s="13" t="str">
        <f>INDEX(原始数据!$B$3:$H$26, MATCH(M$2, 原始数据!$A$3:$A$26, 0), MATCH($E88, 原始数据!$B$2:$H$2, 0))*0.85&amp;"-"&amp;INDEX(原始数据!$B$3:$H$26, MATCH(M$2, 原始数据!$A$3:$A$26, 0), MATCH($E88, 原始数据!$B$2:$H$2, 0))*1</f>
        <v>38.25-45</v>
      </c>
      <c r="N88" s="13" t="str">
        <f>INDEX(原始数据!$B$3:$H$26, MATCH(N$2, 原始数据!$A$3:$A$26, 0), MATCH($E88, 原始数据!$B$2:$H$2, 0))*0.85&amp;"-"&amp;INDEX(原始数据!$B$3:$H$26, MATCH(N$2, 原始数据!$A$3:$A$26, 0), MATCH($E88, 原始数据!$B$2:$H$2, 0))*1</f>
        <v>38.25-45</v>
      </c>
      <c r="O88" s="13"/>
      <c r="P88" s="13"/>
      <c r="Q88" s="13" t="str">
        <f>TEXT(INDEX(原始数据!$B$3:$H$26, MATCH(Q$2, 原始数据!$A$3:$A$26, 0), MATCH($E88, 原始数据!$B$2:$H$2, 0))*85,"0.00")&amp;"-"&amp;TEXT(INDEX(原始数据!$B$3:$H$26, MATCH(Q$2, 原始数据!$A$3:$A$26, 0), MATCH($E88, 原始数据!$B$2:$H$2, 0))*1,"0.00%")</f>
        <v>10.20-12.00%</v>
      </c>
      <c r="R88" s="13" t="str">
        <f>TEXT(INDEX(原始数据!$B$3:$H$26, MATCH(R$2, 原始数据!$A$3:$A$26, 0), MATCH($E88, 原始数据!$B$2:$H$2, 0))*85,"0.00")&amp;"-"&amp;TEXT(INDEX(原始数据!$B$3:$H$26, MATCH(R$2, 原始数据!$A$3:$A$26, 0), MATCH($E88, 原始数据!$B$2:$H$2, 0))*1,"0.00%")</f>
        <v>10.20-12.00%</v>
      </c>
      <c r="S88" s="13" t="str">
        <f>INDEX(原始数据!$B$3:$H$26, MATCH(S$2, 原始数据!$A$3:$A$26, 0), MATCH($E88, 原始数据!$B$2:$H$2, 0))*0.85&amp;"-"&amp;INDEX(原始数据!$B$3:$H$26, MATCH(S$2, 原始数据!$A$3:$A$26, 0), MATCH($E88, 原始数据!$B$2:$H$2, 0))*1</f>
        <v>25.5-30</v>
      </c>
      <c r="T88" s="13" t="str">
        <f>INDEX(原始数据!$B$3:$H$26, MATCH(T$2, 原始数据!$A$3:$A$26, 0), MATCH($E88, 原始数据!$B$2:$H$2, 0))*0.85&amp;"-"&amp;INDEX(原始数据!$B$3:$H$26, MATCH(T$2, 原始数据!$A$3:$A$26, 0), MATCH($E88, 原始数据!$B$2:$H$2, 0))*1</f>
        <v>25.5-30</v>
      </c>
      <c r="U88" s="13" t="str">
        <f>INDEX(原始数据!$B$3:$H$26, MATCH(U$2, 原始数据!$A$3:$A$26, 0), MATCH($E88, 原始数据!$B$2:$H$2, 0))*0.85&amp;"-"&amp;INDEX(原始数据!$B$3:$H$26, MATCH(U$2, 原始数据!$A$3:$A$26, 0), MATCH($E88, 原始数据!$B$2:$H$2, 0))*1</f>
        <v>5.1-6</v>
      </c>
      <c r="V88" s="13" t="str">
        <f>INDEX(原始数据!$B$3:$H$26, MATCH(V$2, 原始数据!$A$3:$A$26, 0), MATCH($E88, 原始数据!$B$2:$H$2, 0))*0.85&amp;"-"&amp;INDEX(原始数据!$B$3:$H$26, MATCH(V$2, 原始数据!$A$3:$A$26, 0), MATCH($E88, 原始数据!$B$2:$H$2, 0))*1</f>
        <v>20.4-24</v>
      </c>
      <c r="AB88" s="13" t="str">
        <f>TEXT(INDEX(原始数据!$B$3:$H$26, MATCH(AB$2, 原始数据!$A$3:$A$26, 0), MATCH($E88, 原始数据!$B$2:$H$2, 0))*80,"0.00")&amp;"-"&amp;TEXT(INDEX(原始数据!$B$3:$H$26, MATCH(AB$2, 原始数据!$A$3:$A$26, 0), MATCH($E88, 原始数据!$B$2:$H$2, 0))*0.95,"0.00%")</f>
        <v>7.20-8.55%</v>
      </c>
      <c r="AC88" s="13" t="str">
        <f>INDEX(原始数据!$B$3:$H$26, MATCH(AC$2, 原始数据!$A$3:$A$26, 0), MATCH($E88, 原始数据!$B$2:$H$2, 0))*0.8&amp;"-"&amp;INDEX(原始数据!$B$3:$H$26, MATCH(AC$2, 原始数据!$A$3:$A$26, 0), MATCH($E88, 原始数据!$B$2:$H$2, 0))*0.95</f>
        <v>360-427.5</v>
      </c>
      <c r="AV88" s="1" t="s">
        <v>162</v>
      </c>
    </row>
    <row r="89" spans="2:48" x14ac:dyDescent="0.2">
      <c r="B89">
        <f>ID编号[id编号]*1000+ROW()-6</f>
        <v>108083</v>
      </c>
      <c r="C89" s="8" t="s">
        <v>126</v>
      </c>
      <c r="D89">
        <v>1</v>
      </c>
      <c r="E89">
        <v>6</v>
      </c>
      <c r="F89">
        <v>6</v>
      </c>
      <c r="G89">
        <v>2</v>
      </c>
      <c r="K89" s="13" t="str">
        <f>TEXT(INDEX(原始数据!$B$3:$H$26, MATCH(K$2, 原始数据!$A$3:$A$26, 0), MATCH($E89, 原始数据!$B$2:$H$2, 0))*85,"0.00")&amp;"-"&amp;TEXT(INDEX(原始数据!$B$3:$H$26, MATCH(K$2, 原始数据!$A$3:$A$26, 0), MATCH($E89, 原始数据!$B$2:$H$2, 0))*1,"0.00%")</f>
        <v>10.20-12.00%</v>
      </c>
      <c r="L89" s="13" t="str">
        <f>TEXT(INDEX(原始数据!$B$3:$H$26, MATCH(L$2, 原始数据!$A$3:$A$26, 0), MATCH($E89, 原始数据!$B$2:$H$2, 0))*85,"0.00")&amp;"-"&amp;TEXT(INDEX(原始数据!$B$3:$H$26, MATCH(L$2, 原始数据!$A$3:$A$26, 0), MATCH($E89, 原始数据!$B$2:$H$2, 0))*1,"0.00%")</f>
        <v>10.20-12.00%</v>
      </c>
      <c r="M89" s="13" t="str">
        <f>INDEX(原始数据!$B$3:$H$26, MATCH(M$2, 原始数据!$A$3:$A$26, 0), MATCH($E89, 原始数据!$B$2:$H$2, 0))*0.85&amp;"-"&amp;INDEX(原始数据!$B$3:$H$26, MATCH(M$2, 原始数据!$A$3:$A$26, 0), MATCH($E89, 原始数据!$B$2:$H$2, 0))*1</f>
        <v>38.25-45</v>
      </c>
      <c r="N89" s="13" t="str">
        <f>INDEX(原始数据!$B$3:$H$26, MATCH(N$2, 原始数据!$A$3:$A$26, 0), MATCH($E89, 原始数据!$B$2:$H$2, 0))*0.85&amp;"-"&amp;INDEX(原始数据!$B$3:$H$26, MATCH(N$2, 原始数据!$A$3:$A$26, 0), MATCH($E89, 原始数据!$B$2:$H$2, 0))*1</f>
        <v>38.25-45</v>
      </c>
      <c r="O89" s="13"/>
      <c r="P89" s="13"/>
      <c r="Q89" s="13" t="str">
        <f>TEXT(INDEX(原始数据!$B$3:$H$26, MATCH(Q$2, 原始数据!$A$3:$A$26, 0), MATCH($E89, 原始数据!$B$2:$H$2, 0))*85,"0.00")&amp;"-"&amp;TEXT(INDEX(原始数据!$B$3:$H$26, MATCH(Q$2, 原始数据!$A$3:$A$26, 0), MATCH($E89, 原始数据!$B$2:$H$2, 0))*1,"0.00%")</f>
        <v>10.20-12.00%</v>
      </c>
      <c r="R89" s="13" t="str">
        <f>TEXT(INDEX(原始数据!$B$3:$H$26, MATCH(R$2, 原始数据!$A$3:$A$26, 0), MATCH($E89, 原始数据!$B$2:$H$2, 0))*85,"0.00")&amp;"-"&amp;TEXT(INDEX(原始数据!$B$3:$H$26, MATCH(R$2, 原始数据!$A$3:$A$26, 0), MATCH($E89, 原始数据!$B$2:$H$2, 0))*1,"0.00%")</f>
        <v>10.20-12.00%</v>
      </c>
      <c r="S89" s="13" t="str">
        <f>INDEX(原始数据!$B$3:$H$26, MATCH(S$2, 原始数据!$A$3:$A$26, 0), MATCH($E89, 原始数据!$B$2:$H$2, 0))*0.85&amp;"-"&amp;INDEX(原始数据!$B$3:$H$26, MATCH(S$2, 原始数据!$A$3:$A$26, 0), MATCH($E89, 原始数据!$B$2:$H$2, 0))*1</f>
        <v>25.5-30</v>
      </c>
      <c r="T89" s="13" t="str">
        <f>INDEX(原始数据!$B$3:$H$26, MATCH(T$2, 原始数据!$A$3:$A$26, 0), MATCH($E89, 原始数据!$B$2:$H$2, 0))*0.85&amp;"-"&amp;INDEX(原始数据!$B$3:$H$26, MATCH(T$2, 原始数据!$A$3:$A$26, 0), MATCH($E89, 原始数据!$B$2:$H$2, 0))*1</f>
        <v>25.5-30</v>
      </c>
      <c r="U89" s="13" t="str">
        <f>INDEX(原始数据!$B$3:$H$26, MATCH(U$2, 原始数据!$A$3:$A$26, 0), MATCH($E89, 原始数据!$B$2:$H$2, 0))*0.85&amp;"-"&amp;INDEX(原始数据!$B$3:$H$26, MATCH(U$2, 原始数据!$A$3:$A$26, 0), MATCH($E89, 原始数据!$B$2:$H$2, 0))*1</f>
        <v>5.1-6</v>
      </c>
      <c r="V89" s="13" t="str">
        <f>INDEX(原始数据!$B$3:$H$26, MATCH(V$2, 原始数据!$A$3:$A$26, 0), MATCH($E89, 原始数据!$B$2:$H$2, 0))*0.85&amp;"-"&amp;INDEX(原始数据!$B$3:$H$26, MATCH(V$2, 原始数据!$A$3:$A$26, 0), MATCH($E89, 原始数据!$B$2:$H$2, 0))*1</f>
        <v>20.4-24</v>
      </c>
      <c r="AB89" s="13" t="str">
        <f>TEXT(INDEX(原始数据!$B$3:$H$26, MATCH(AB$2, 原始数据!$A$3:$A$26, 0), MATCH($E89, 原始数据!$B$2:$H$2, 0))*80,"0.00")&amp;"-"&amp;TEXT(INDEX(原始数据!$B$3:$H$26, MATCH(AB$2, 原始数据!$A$3:$A$26, 0), MATCH($E89, 原始数据!$B$2:$H$2, 0))*0.95,"0.00%")</f>
        <v>7.20-8.55%</v>
      </c>
      <c r="AC89" s="13" t="str">
        <f>INDEX(原始数据!$B$3:$H$26, MATCH(AC$2, 原始数据!$A$3:$A$26, 0), MATCH($E89, 原始数据!$B$2:$H$2, 0))*0.8&amp;"-"&amp;INDEX(原始数据!$B$3:$H$26, MATCH(AC$2, 原始数据!$A$3:$A$26, 0), MATCH($E89, 原始数据!$B$2:$H$2, 0))*0.95</f>
        <v>360-427.5</v>
      </c>
      <c r="AV89" s="1" t="s">
        <v>163</v>
      </c>
    </row>
    <row r="90" spans="2:48" x14ac:dyDescent="0.2">
      <c r="B90">
        <f>ID编号[id编号]*1000+ROW()-6</f>
        <v>108084</v>
      </c>
      <c r="C90" s="8" t="s">
        <v>127</v>
      </c>
      <c r="D90">
        <v>1</v>
      </c>
      <c r="E90">
        <v>6</v>
      </c>
      <c r="F90">
        <v>6</v>
      </c>
      <c r="G90">
        <v>2</v>
      </c>
      <c r="K90" s="13" t="str">
        <f>TEXT(INDEX(原始数据!$B$3:$H$26, MATCH(K$2, 原始数据!$A$3:$A$26, 0), MATCH($E90, 原始数据!$B$2:$H$2, 0))*85,"0.00")&amp;"-"&amp;TEXT(INDEX(原始数据!$B$3:$H$26, MATCH(K$2, 原始数据!$A$3:$A$26, 0), MATCH($E90, 原始数据!$B$2:$H$2, 0))*1,"0.00%")</f>
        <v>10.20-12.00%</v>
      </c>
      <c r="L90" s="13" t="str">
        <f>TEXT(INDEX(原始数据!$B$3:$H$26, MATCH(L$2, 原始数据!$A$3:$A$26, 0), MATCH($E90, 原始数据!$B$2:$H$2, 0))*85,"0.00")&amp;"-"&amp;TEXT(INDEX(原始数据!$B$3:$H$26, MATCH(L$2, 原始数据!$A$3:$A$26, 0), MATCH($E90, 原始数据!$B$2:$H$2, 0))*1,"0.00%")</f>
        <v>10.20-12.00%</v>
      </c>
      <c r="M90" s="13" t="str">
        <f>INDEX(原始数据!$B$3:$H$26, MATCH(M$2, 原始数据!$A$3:$A$26, 0), MATCH($E90, 原始数据!$B$2:$H$2, 0))*0.85&amp;"-"&amp;INDEX(原始数据!$B$3:$H$26, MATCH(M$2, 原始数据!$A$3:$A$26, 0), MATCH($E90, 原始数据!$B$2:$H$2, 0))*1</f>
        <v>38.25-45</v>
      </c>
      <c r="N90" s="13" t="str">
        <f>INDEX(原始数据!$B$3:$H$26, MATCH(N$2, 原始数据!$A$3:$A$26, 0), MATCH($E90, 原始数据!$B$2:$H$2, 0))*0.85&amp;"-"&amp;INDEX(原始数据!$B$3:$H$26, MATCH(N$2, 原始数据!$A$3:$A$26, 0), MATCH($E90, 原始数据!$B$2:$H$2, 0))*1</f>
        <v>38.25-45</v>
      </c>
      <c r="O90" s="13"/>
      <c r="P90" s="13"/>
      <c r="Q90" s="13" t="str">
        <f>TEXT(INDEX(原始数据!$B$3:$H$26, MATCH(Q$2, 原始数据!$A$3:$A$26, 0), MATCH($E90, 原始数据!$B$2:$H$2, 0))*85,"0.00")&amp;"-"&amp;TEXT(INDEX(原始数据!$B$3:$H$26, MATCH(Q$2, 原始数据!$A$3:$A$26, 0), MATCH($E90, 原始数据!$B$2:$H$2, 0))*1,"0.00%")</f>
        <v>10.20-12.00%</v>
      </c>
      <c r="R90" s="13" t="str">
        <f>TEXT(INDEX(原始数据!$B$3:$H$26, MATCH(R$2, 原始数据!$A$3:$A$26, 0), MATCH($E90, 原始数据!$B$2:$H$2, 0))*85,"0.00")&amp;"-"&amp;TEXT(INDEX(原始数据!$B$3:$H$26, MATCH(R$2, 原始数据!$A$3:$A$26, 0), MATCH($E90, 原始数据!$B$2:$H$2, 0))*1,"0.00%")</f>
        <v>10.20-12.00%</v>
      </c>
      <c r="S90" s="13" t="str">
        <f>INDEX(原始数据!$B$3:$H$26, MATCH(S$2, 原始数据!$A$3:$A$26, 0), MATCH($E90, 原始数据!$B$2:$H$2, 0))*0.85&amp;"-"&amp;INDEX(原始数据!$B$3:$H$26, MATCH(S$2, 原始数据!$A$3:$A$26, 0), MATCH($E90, 原始数据!$B$2:$H$2, 0))*1</f>
        <v>25.5-30</v>
      </c>
      <c r="T90" s="13" t="str">
        <f>INDEX(原始数据!$B$3:$H$26, MATCH(T$2, 原始数据!$A$3:$A$26, 0), MATCH($E90, 原始数据!$B$2:$H$2, 0))*0.85&amp;"-"&amp;INDEX(原始数据!$B$3:$H$26, MATCH(T$2, 原始数据!$A$3:$A$26, 0), MATCH($E90, 原始数据!$B$2:$H$2, 0))*1</f>
        <v>25.5-30</v>
      </c>
      <c r="U90" s="13" t="str">
        <f>INDEX(原始数据!$B$3:$H$26, MATCH(U$2, 原始数据!$A$3:$A$26, 0), MATCH($E90, 原始数据!$B$2:$H$2, 0))*0.85&amp;"-"&amp;INDEX(原始数据!$B$3:$H$26, MATCH(U$2, 原始数据!$A$3:$A$26, 0), MATCH($E90, 原始数据!$B$2:$H$2, 0))*1</f>
        <v>5.1-6</v>
      </c>
      <c r="V90" s="13" t="str">
        <f>INDEX(原始数据!$B$3:$H$26, MATCH(V$2, 原始数据!$A$3:$A$26, 0), MATCH($E90, 原始数据!$B$2:$H$2, 0))*0.85&amp;"-"&amp;INDEX(原始数据!$B$3:$H$26, MATCH(V$2, 原始数据!$A$3:$A$26, 0), MATCH($E90, 原始数据!$B$2:$H$2, 0))*1</f>
        <v>20.4-24</v>
      </c>
      <c r="AB90" s="13" t="str">
        <f>TEXT(INDEX(原始数据!$B$3:$H$26, MATCH(AB$2, 原始数据!$A$3:$A$26, 0), MATCH($E90, 原始数据!$B$2:$H$2, 0))*80,"0.00")&amp;"-"&amp;TEXT(INDEX(原始数据!$B$3:$H$26, MATCH(AB$2, 原始数据!$A$3:$A$26, 0), MATCH($E90, 原始数据!$B$2:$H$2, 0))*0.95,"0.00%")</f>
        <v>7.20-8.55%</v>
      </c>
      <c r="AC90" s="13" t="str">
        <f>INDEX(原始数据!$B$3:$H$26, MATCH(AC$2, 原始数据!$A$3:$A$26, 0), MATCH($E90, 原始数据!$B$2:$H$2, 0))*0.8&amp;"-"&amp;INDEX(原始数据!$B$3:$H$26, MATCH(AC$2, 原始数据!$A$3:$A$26, 0), MATCH($E90, 原始数据!$B$2:$H$2, 0))*0.95</f>
        <v>360-427.5</v>
      </c>
      <c r="AV90" s="1" t="s">
        <v>164</v>
      </c>
    </row>
    <row r="91" spans="2:48" x14ac:dyDescent="0.2">
      <c r="B91">
        <f>ID编号[id编号]*1000+ROW()-6</f>
        <v>108085</v>
      </c>
      <c r="C91" s="8" t="s">
        <v>128</v>
      </c>
      <c r="D91">
        <v>1</v>
      </c>
      <c r="E91">
        <v>6</v>
      </c>
      <c r="F91">
        <v>6</v>
      </c>
      <c r="G91">
        <v>2</v>
      </c>
      <c r="K91" s="13" t="str">
        <f>TEXT(INDEX(原始数据!$B$3:$H$26, MATCH(K$2, 原始数据!$A$3:$A$26, 0), MATCH($E91, 原始数据!$B$2:$H$2, 0))*85,"0.00")&amp;"-"&amp;TEXT(INDEX(原始数据!$B$3:$H$26, MATCH(K$2, 原始数据!$A$3:$A$26, 0), MATCH($E91, 原始数据!$B$2:$H$2, 0))*1,"0.00%")</f>
        <v>10.20-12.00%</v>
      </c>
      <c r="L91" s="13" t="str">
        <f>TEXT(INDEX(原始数据!$B$3:$H$26, MATCH(L$2, 原始数据!$A$3:$A$26, 0), MATCH($E91, 原始数据!$B$2:$H$2, 0))*85,"0.00")&amp;"-"&amp;TEXT(INDEX(原始数据!$B$3:$H$26, MATCH(L$2, 原始数据!$A$3:$A$26, 0), MATCH($E91, 原始数据!$B$2:$H$2, 0))*1,"0.00%")</f>
        <v>10.20-12.00%</v>
      </c>
      <c r="M91" s="13" t="str">
        <f>INDEX(原始数据!$B$3:$H$26, MATCH(M$2, 原始数据!$A$3:$A$26, 0), MATCH($E91, 原始数据!$B$2:$H$2, 0))*0.85&amp;"-"&amp;INDEX(原始数据!$B$3:$H$26, MATCH(M$2, 原始数据!$A$3:$A$26, 0), MATCH($E91, 原始数据!$B$2:$H$2, 0))*1</f>
        <v>38.25-45</v>
      </c>
      <c r="N91" s="13" t="str">
        <f>INDEX(原始数据!$B$3:$H$26, MATCH(N$2, 原始数据!$A$3:$A$26, 0), MATCH($E91, 原始数据!$B$2:$H$2, 0))*0.85&amp;"-"&amp;INDEX(原始数据!$B$3:$H$26, MATCH(N$2, 原始数据!$A$3:$A$26, 0), MATCH($E91, 原始数据!$B$2:$H$2, 0))*1</f>
        <v>38.25-45</v>
      </c>
      <c r="O91" s="13"/>
      <c r="P91" s="13"/>
      <c r="Q91" s="13" t="str">
        <f>TEXT(INDEX(原始数据!$B$3:$H$26, MATCH(Q$2, 原始数据!$A$3:$A$26, 0), MATCH($E91, 原始数据!$B$2:$H$2, 0))*85,"0.00")&amp;"-"&amp;TEXT(INDEX(原始数据!$B$3:$H$26, MATCH(Q$2, 原始数据!$A$3:$A$26, 0), MATCH($E91, 原始数据!$B$2:$H$2, 0))*1,"0.00%")</f>
        <v>10.20-12.00%</v>
      </c>
      <c r="R91" s="13" t="str">
        <f>TEXT(INDEX(原始数据!$B$3:$H$26, MATCH(R$2, 原始数据!$A$3:$A$26, 0), MATCH($E91, 原始数据!$B$2:$H$2, 0))*85,"0.00")&amp;"-"&amp;TEXT(INDEX(原始数据!$B$3:$H$26, MATCH(R$2, 原始数据!$A$3:$A$26, 0), MATCH($E91, 原始数据!$B$2:$H$2, 0))*1,"0.00%")</f>
        <v>10.20-12.00%</v>
      </c>
      <c r="S91" s="13" t="str">
        <f>INDEX(原始数据!$B$3:$H$26, MATCH(S$2, 原始数据!$A$3:$A$26, 0), MATCH($E91, 原始数据!$B$2:$H$2, 0))*0.85&amp;"-"&amp;INDEX(原始数据!$B$3:$H$26, MATCH(S$2, 原始数据!$A$3:$A$26, 0), MATCH($E91, 原始数据!$B$2:$H$2, 0))*1</f>
        <v>25.5-30</v>
      </c>
      <c r="T91" s="13" t="str">
        <f>INDEX(原始数据!$B$3:$H$26, MATCH(T$2, 原始数据!$A$3:$A$26, 0), MATCH($E91, 原始数据!$B$2:$H$2, 0))*0.85&amp;"-"&amp;INDEX(原始数据!$B$3:$H$26, MATCH(T$2, 原始数据!$A$3:$A$26, 0), MATCH($E91, 原始数据!$B$2:$H$2, 0))*1</f>
        <v>25.5-30</v>
      </c>
      <c r="U91" s="13" t="str">
        <f>INDEX(原始数据!$B$3:$H$26, MATCH(U$2, 原始数据!$A$3:$A$26, 0), MATCH($E91, 原始数据!$B$2:$H$2, 0))*0.85&amp;"-"&amp;INDEX(原始数据!$B$3:$H$26, MATCH(U$2, 原始数据!$A$3:$A$26, 0), MATCH($E91, 原始数据!$B$2:$H$2, 0))*1</f>
        <v>5.1-6</v>
      </c>
      <c r="V91" s="13" t="str">
        <f>INDEX(原始数据!$B$3:$H$26, MATCH(V$2, 原始数据!$A$3:$A$26, 0), MATCH($E91, 原始数据!$B$2:$H$2, 0))*0.85&amp;"-"&amp;INDEX(原始数据!$B$3:$H$26, MATCH(V$2, 原始数据!$A$3:$A$26, 0), MATCH($E91, 原始数据!$B$2:$H$2, 0))*1</f>
        <v>20.4-24</v>
      </c>
      <c r="AB91" s="13" t="str">
        <f>TEXT(INDEX(原始数据!$B$3:$H$26, MATCH(AB$2, 原始数据!$A$3:$A$26, 0), MATCH($E91, 原始数据!$B$2:$H$2, 0))*80,"0.00")&amp;"-"&amp;TEXT(INDEX(原始数据!$B$3:$H$26, MATCH(AB$2, 原始数据!$A$3:$A$26, 0), MATCH($E91, 原始数据!$B$2:$H$2, 0))*0.95,"0.00%")</f>
        <v>7.20-8.55%</v>
      </c>
      <c r="AC91" s="13" t="str">
        <f>INDEX(原始数据!$B$3:$H$26, MATCH(AC$2, 原始数据!$A$3:$A$26, 0), MATCH($E91, 原始数据!$B$2:$H$2, 0))*0.8&amp;"-"&amp;INDEX(原始数据!$B$3:$H$26, MATCH(AC$2, 原始数据!$A$3:$A$26, 0), MATCH($E91, 原始数据!$B$2:$H$2, 0))*0.95</f>
        <v>360-427.5</v>
      </c>
      <c r="AV91" s="1" t="s">
        <v>165</v>
      </c>
    </row>
    <row r="92" spans="2:48" x14ac:dyDescent="0.2">
      <c r="B92">
        <f>ID编号[id编号]*1000+ROW()-6</f>
        <v>108086</v>
      </c>
      <c r="C92" s="1" t="s">
        <v>129</v>
      </c>
      <c r="D92">
        <v>3</v>
      </c>
      <c r="E92">
        <v>2</v>
      </c>
      <c r="F92">
        <v>4</v>
      </c>
      <c r="G92">
        <v>2</v>
      </c>
      <c r="W92" s="13" t="str">
        <f>TEXT(INDEX(原始数据!$B$3:$H$26, MATCH(W$2, 原始数据!$A$3:$A$26, 0), MATCH($E92, 原始数据!$B$2:$H$2, 0))*85,"0.00")&amp;"-"&amp;TEXT(INDEX(原始数据!$B$3:$H$26, MATCH(W$2, 原始数据!$A$3:$A$26, 0), MATCH($E92, 原始数据!$B$2:$H$2, 0))*1,"0.00%")</f>
        <v>1.70-2.00%</v>
      </c>
      <c r="X92" s="13" t="str">
        <f>TEXT(INDEX(原始数据!$B$3:$H$26, MATCH(X$2, 原始数据!$A$3:$A$26, 0), MATCH($E92, 原始数据!$B$2:$H$2, 0))*85,"0.00")&amp;"-"&amp;TEXT(INDEX(原始数据!$B$3:$H$26, MATCH(X$2, 原始数据!$A$3:$A$26, 0), MATCH($E92, 原始数据!$B$2:$H$2, 0))*1,"0.00%")</f>
        <v>1.70-2.00%</v>
      </c>
      <c r="Y92" s="13" t="str">
        <f>TEXT(INDEX(原始数据!$B$3:$H$26, MATCH(Y$2, 原始数据!$A$3:$A$26, 0), MATCH($E92, 原始数据!$B$2:$H$2, 0))*85,"0.00")&amp;"-"&amp;TEXT(INDEX(原始数据!$B$3:$H$26, MATCH(Y$2, 原始数据!$A$3:$A$26, 0), MATCH($E92, 原始数据!$B$2:$H$2, 0))*1,"0.00%")</f>
        <v>2.13-2.50%</v>
      </c>
      <c r="Z92" s="13" t="str">
        <f>TEXT(INDEX(原始数据!$B$3:$H$26, MATCH(Z$2, 原始数据!$A$3:$A$26, 0), MATCH($E92, 原始数据!$B$2:$H$2, 0))*85,"0.00")&amp;"-"&amp;TEXT(INDEX(原始数据!$B$3:$H$26, MATCH(Z$2, 原始数据!$A$3:$A$26, 0), MATCH($E92, 原始数据!$B$2:$H$2, 0))*1,"0.00%")</f>
        <v>8.50-10.00%</v>
      </c>
      <c r="AV92" s="1" t="s">
        <v>166</v>
      </c>
    </row>
    <row r="93" spans="2:48" x14ac:dyDescent="0.2">
      <c r="B93">
        <f>ID编号[id编号]*1000+ROW()-6</f>
        <v>108087</v>
      </c>
      <c r="C93" s="1" t="s">
        <v>130</v>
      </c>
      <c r="D93">
        <v>3</v>
      </c>
      <c r="E93">
        <v>3</v>
      </c>
      <c r="F93">
        <v>4</v>
      </c>
      <c r="G93">
        <v>2</v>
      </c>
      <c r="W93" s="13" t="str">
        <f>TEXT(INDEX(原始数据!$B$3:$H$26, MATCH(W$2, 原始数据!$A$3:$A$26, 0), MATCH($E93, 原始数据!$B$2:$H$2, 0))*85,"0.00")&amp;"-"&amp;TEXT(INDEX(原始数据!$B$3:$H$26, MATCH(W$2, 原始数据!$A$3:$A$26, 0), MATCH($E93, 原始数据!$B$2:$H$2, 0))*1,"0.00%")</f>
        <v>2.55-3.00%</v>
      </c>
      <c r="X93" s="13" t="str">
        <f>TEXT(INDEX(原始数据!$B$3:$H$26, MATCH(X$2, 原始数据!$A$3:$A$26, 0), MATCH($E93, 原始数据!$B$2:$H$2, 0))*85,"0.00")&amp;"-"&amp;TEXT(INDEX(原始数据!$B$3:$H$26, MATCH(X$2, 原始数据!$A$3:$A$26, 0), MATCH($E93, 原始数据!$B$2:$H$2, 0))*1,"0.00%")</f>
        <v>2.55-3.00%</v>
      </c>
      <c r="Y93" s="13" t="str">
        <f>TEXT(INDEX(原始数据!$B$3:$H$26, MATCH(Y$2, 原始数据!$A$3:$A$26, 0), MATCH($E93, 原始数据!$B$2:$H$2, 0))*85,"0.00")&amp;"-"&amp;TEXT(INDEX(原始数据!$B$3:$H$26, MATCH(Y$2, 原始数据!$A$3:$A$26, 0), MATCH($E93, 原始数据!$B$2:$H$2, 0))*1,"0.00%")</f>
        <v>3.19-3.75%</v>
      </c>
      <c r="Z93" s="13" t="str">
        <f>TEXT(INDEX(原始数据!$B$3:$H$26, MATCH(Z$2, 原始数据!$A$3:$A$26, 0), MATCH($E93, 原始数据!$B$2:$H$2, 0))*85,"0.00")&amp;"-"&amp;TEXT(INDEX(原始数据!$B$3:$H$26, MATCH(Z$2, 原始数据!$A$3:$A$26, 0), MATCH($E93, 原始数据!$B$2:$H$2, 0))*1,"0.00%")</f>
        <v>12.75-15.00%</v>
      </c>
      <c r="AV93" s="1" t="s">
        <v>167</v>
      </c>
    </row>
    <row r="94" spans="2:48" x14ac:dyDescent="0.2">
      <c r="B94">
        <f>ID编号[id编号]*1000+ROW()-6</f>
        <v>108088</v>
      </c>
      <c r="C94" s="1" t="s">
        <v>131</v>
      </c>
      <c r="D94">
        <v>3</v>
      </c>
      <c r="E94">
        <v>4</v>
      </c>
      <c r="F94">
        <v>4</v>
      </c>
      <c r="G94">
        <v>2</v>
      </c>
      <c r="W94" s="13" t="str">
        <f>TEXT(INDEX(原始数据!$B$3:$H$26, MATCH(W$2, 原始数据!$A$3:$A$26, 0), MATCH($E94, 原始数据!$B$2:$H$2, 0))*85,"0.00")&amp;"-"&amp;TEXT(INDEX(原始数据!$B$3:$H$26, MATCH(W$2, 原始数据!$A$3:$A$26, 0), MATCH($E94, 原始数据!$B$2:$H$2, 0))*1,"0.00%")</f>
        <v>3.40-4.00%</v>
      </c>
      <c r="X94" s="13" t="str">
        <f>TEXT(INDEX(原始数据!$B$3:$H$26, MATCH(X$2, 原始数据!$A$3:$A$26, 0), MATCH($E94, 原始数据!$B$2:$H$2, 0))*85,"0.00")&amp;"-"&amp;TEXT(INDEX(原始数据!$B$3:$H$26, MATCH(X$2, 原始数据!$A$3:$A$26, 0), MATCH($E94, 原始数据!$B$2:$H$2, 0))*1,"0.00%")</f>
        <v>3.40-4.00%</v>
      </c>
      <c r="Y94" s="13" t="str">
        <f>TEXT(INDEX(原始数据!$B$3:$H$26, MATCH(Y$2, 原始数据!$A$3:$A$26, 0), MATCH($E94, 原始数据!$B$2:$H$2, 0))*85,"0.00")&amp;"-"&amp;TEXT(INDEX(原始数据!$B$3:$H$26, MATCH(Y$2, 原始数据!$A$3:$A$26, 0), MATCH($E94, 原始数据!$B$2:$H$2, 0))*1,"0.00%")</f>
        <v>4.25-5.00%</v>
      </c>
      <c r="Z94" s="13" t="str">
        <f>TEXT(INDEX(原始数据!$B$3:$H$26, MATCH(Z$2, 原始数据!$A$3:$A$26, 0), MATCH($E94, 原始数据!$B$2:$H$2, 0))*85,"0.00")&amp;"-"&amp;TEXT(INDEX(原始数据!$B$3:$H$26, MATCH(Z$2, 原始数据!$A$3:$A$26, 0), MATCH($E94, 原始数据!$B$2:$H$2, 0))*1,"0.00%")</f>
        <v>17.00-20.00%</v>
      </c>
      <c r="AV94" s="1" t="s">
        <v>168</v>
      </c>
    </row>
    <row r="95" spans="2:48" x14ac:dyDescent="0.2">
      <c r="B95">
        <f>ID编号[id编号]*1000+ROW()-6</f>
        <v>108089</v>
      </c>
      <c r="C95" s="1" t="s">
        <v>132</v>
      </c>
      <c r="D95">
        <v>3</v>
      </c>
      <c r="E95">
        <v>5</v>
      </c>
      <c r="F95">
        <v>4</v>
      </c>
      <c r="G95">
        <v>2</v>
      </c>
      <c r="W95" s="13" t="str">
        <f>TEXT(INDEX(原始数据!$B$3:$H$26, MATCH(W$2, 原始数据!$A$3:$A$26, 0), MATCH($E95, 原始数据!$B$2:$H$2, 0))*85,"0.00")&amp;"-"&amp;TEXT(INDEX(原始数据!$B$3:$H$26, MATCH(W$2, 原始数据!$A$3:$A$26, 0), MATCH($E95, 原始数据!$B$2:$H$2, 0))*1,"0.00%")</f>
        <v>4.25-5.00%</v>
      </c>
      <c r="X95" s="13" t="str">
        <f>TEXT(INDEX(原始数据!$B$3:$H$26, MATCH(X$2, 原始数据!$A$3:$A$26, 0), MATCH($E95, 原始数据!$B$2:$H$2, 0))*85,"0.00")&amp;"-"&amp;TEXT(INDEX(原始数据!$B$3:$H$26, MATCH(X$2, 原始数据!$A$3:$A$26, 0), MATCH($E95, 原始数据!$B$2:$H$2, 0))*1,"0.00%")</f>
        <v>4.25-5.00%</v>
      </c>
      <c r="Y95" s="13" t="str">
        <f>TEXT(INDEX(原始数据!$B$3:$H$26, MATCH(Y$2, 原始数据!$A$3:$A$26, 0), MATCH($E95, 原始数据!$B$2:$H$2, 0))*85,"0.00")&amp;"-"&amp;TEXT(INDEX(原始数据!$B$3:$H$26, MATCH(Y$2, 原始数据!$A$3:$A$26, 0), MATCH($E95, 原始数据!$B$2:$H$2, 0))*1,"0.00%")</f>
        <v>5.31-6.25%</v>
      </c>
      <c r="Z95" s="13" t="str">
        <f>TEXT(INDEX(原始数据!$B$3:$H$26, MATCH(Z$2, 原始数据!$A$3:$A$26, 0), MATCH($E95, 原始数据!$B$2:$H$2, 0))*85,"0.00")&amp;"-"&amp;TEXT(INDEX(原始数据!$B$3:$H$26, MATCH(Z$2, 原始数据!$A$3:$A$26, 0), MATCH($E95, 原始数据!$B$2:$H$2, 0))*1,"0.00%")</f>
        <v>21.25-25.00%</v>
      </c>
      <c r="AV95" s="1" t="s">
        <v>169</v>
      </c>
    </row>
    <row r="96" spans="2:48" x14ac:dyDescent="0.2">
      <c r="B96">
        <f>ID编号[id编号]*1000+ROW()-6</f>
        <v>108090</v>
      </c>
      <c r="C96" s="1" t="s">
        <v>133</v>
      </c>
      <c r="D96">
        <v>3</v>
      </c>
      <c r="E96">
        <v>6</v>
      </c>
      <c r="F96">
        <v>4</v>
      </c>
      <c r="G96">
        <v>2</v>
      </c>
      <c r="W96" s="13" t="str">
        <f>TEXT(INDEX(原始数据!$B$3:$H$26, MATCH(W$2, 原始数据!$A$3:$A$26, 0), MATCH($E96, 原始数据!$B$2:$H$2, 0))*85,"0.00")&amp;"-"&amp;TEXT(INDEX(原始数据!$B$3:$H$26, MATCH(W$2, 原始数据!$A$3:$A$26, 0), MATCH($E96, 原始数据!$B$2:$H$2, 0))*1,"0.00%")</f>
        <v>5.10-6.00%</v>
      </c>
      <c r="X96" s="13" t="str">
        <f>TEXT(INDEX(原始数据!$B$3:$H$26, MATCH(X$2, 原始数据!$A$3:$A$26, 0), MATCH($E96, 原始数据!$B$2:$H$2, 0))*85,"0.00")&amp;"-"&amp;TEXT(INDEX(原始数据!$B$3:$H$26, MATCH(X$2, 原始数据!$A$3:$A$26, 0), MATCH($E96, 原始数据!$B$2:$H$2, 0))*1,"0.00%")</f>
        <v>5.10-6.00%</v>
      </c>
      <c r="Y96" s="13" t="str">
        <f>TEXT(INDEX(原始数据!$B$3:$H$26, MATCH(Y$2, 原始数据!$A$3:$A$26, 0), MATCH($E96, 原始数据!$B$2:$H$2, 0))*85,"0.00")&amp;"-"&amp;TEXT(INDEX(原始数据!$B$3:$H$26, MATCH(Y$2, 原始数据!$A$3:$A$26, 0), MATCH($E96, 原始数据!$B$2:$H$2, 0))*1,"0.00%")</f>
        <v>6.38-7.50%</v>
      </c>
      <c r="Z96" s="13" t="str">
        <f>TEXT(INDEX(原始数据!$B$3:$H$26, MATCH(Z$2, 原始数据!$A$3:$A$26, 0), MATCH($E96, 原始数据!$B$2:$H$2, 0))*85,"0.00")&amp;"-"&amp;TEXT(INDEX(原始数据!$B$3:$H$26, MATCH(Z$2, 原始数据!$A$3:$A$26, 0), MATCH($E96, 原始数据!$B$2:$H$2, 0))*1,"0.00%")</f>
        <v>25.50-30.00%</v>
      </c>
      <c r="AV96" s="1" t="s">
        <v>170</v>
      </c>
    </row>
    <row r="97" spans="2:48" x14ac:dyDescent="0.2">
      <c r="B97">
        <f>ID编号[id编号]*1000+ROW()-6</f>
        <v>108091</v>
      </c>
      <c r="C97" s="1" t="s">
        <v>134</v>
      </c>
      <c r="D97">
        <v>0</v>
      </c>
      <c r="E97">
        <v>2</v>
      </c>
      <c r="G97">
        <v>2</v>
      </c>
      <c r="I97" s="13"/>
      <c r="J97" s="13"/>
      <c r="M97" s="13"/>
      <c r="N97" s="13"/>
      <c r="O97" s="13"/>
      <c r="P97" s="13"/>
      <c r="S97" s="13"/>
      <c r="T97" s="13"/>
      <c r="AA97" s="13"/>
      <c r="AC97" s="13"/>
      <c r="AL97" s="13" t="str">
        <f>INDEX(原始数据!$K$2:$Q$7, MATCH("基础攻击力A", 原始数据!$J$2:$J$7, 0), MATCH($E97, 原始数据!$K$1:$Q$1, 0))&amp;"-"&amp;INDEX(原始数据!$K$2:$Q$7, MATCH("基础攻击力B", 原始数据!$J$2:$J$7, 0), MATCH($E97, 原始数据!$K$1:$Q$1, 0))</f>
        <v>59.4-105.51</v>
      </c>
      <c r="AM97" s="13" t="str">
        <f>INDEX(原始数据!$K$2:$Q$7, MATCH("基础攻击力A", 原始数据!$J$2:$J$7, 0), MATCH($E97, 原始数据!$K$1:$Q$1, 0))&amp;"-"&amp;INDEX(原始数据!$K$2:$Q$7, MATCH("基础攻击力B", 原始数据!$J$2:$J$7, 0), MATCH($E97, 原始数据!$K$1:$Q$1, 0))</f>
        <v>59.4-105.51</v>
      </c>
      <c r="AN97" s="13" t="str">
        <f>INDEX(原始数据!$K$2:$Q$7, MATCH("基础攻击力A", 原始数据!$J$2:$J$7, 0), MATCH($E97, 原始数据!$K$1:$Q$1, 0))&amp;"-"&amp;INDEX(原始数据!$K$2:$Q$7, MATCH("基础攻击力B", 原始数据!$J$2:$J$7, 0), MATCH($E97, 原始数据!$K$1:$Q$1, 0))</f>
        <v>59.4-105.51</v>
      </c>
      <c r="AO97" s="13" t="str">
        <f>INDEX(原始数据!$K$2:$Q$7, MATCH("基础攻击力A", 原始数据!$J$2:$J$7, 0), MATCH($E97, 原始数据!$K$1:$Q$1, 0))&amp;"-"&amp;INDEX(原始数据!$K$2:$Q$7, MATCH("基础攻击力B", 原始数据!$J$2:$J$7, 0), MATCH($E97, 原始数据!$K$1:$Q$1, 0))</f>
        <v>59.4-105.51</v>
      </c>
      <c r="AP97" s="13" t="str">
        <f>INDEX(原始数据!$K$2:$Q$7, MATCH("基础防御力A", 原始数据!$J$2:$J$7, 0), MATCH($E97, 原始数据!$K$1:$Q$1, 0))&amp;"-"&amp;INDEX(原始数据!$K$2:$Q$7, MATCH("基础防御力B", 原始数据!$J$2:$J$7, 0), MATCH($E97, 原始数据!$K$1:$Q$1, 0))</f>
        <v>78-138</v>
      </c>
      <c r="AQ97" s="13" t="str">
        <f>INDEX(原始数据!$K$2:$Q$7, MATCH("基础防御力A", 原始数据!$J$2:$J$7, 0), MATCH($E97, 原始数据!$K$1:$Q$1, 0))&amp;"-"&amp;INDEX(原始数据!$K$2:$Q$7, MATCH("基础防御力B", 原始数据!$J$2:$J$7, 0), MATCH($E97, 原始数据!$K$1:$Q$1, 0))</f>
        <v>78-138</v>
      </c>
      <c r="AR97" s="13" t="str">
        <f>INDEX(原始数据!$K$2:$Q$7, MATCH("基础防御力A", 原始数据!$J$2:$J$7, 0), MATCH($E97, 原始数据!$K$1:$Q$1, 0))&amp;"-"&amp;INDEX(原始数据!$K$2:$Q$7, MATCH("基础防御力B", 原始数据!$J$2:$J$7, 0), MATCH($E97, 原始数据!$K$1:$Q$1, 0))</f>
        <v>78-138</v>
      </c>
      <c r="AS97" s="13" t="str">
        <f>INDEX(原始数据!$K$2:$Q$7, MATCH("基础防御力A", 原始数据!$J$2:$J$7, 0), MATCH($E97, 原始数据!$K$1:$Q$1, 0))&amp;"-"&amp;INDEX(原始数据!$K$2:$Q$7, MATCH("基础防御力B", 原始数据!$J$2:$J$7, 0), MATCH($E97, 原始数据!$K$1:$Q$1, 0))</f>
        <v>78-138</v>
      </c>
      <c r="AT97" s="13" t="str">
        <f>INDEX(原始数据!$K$2:$Q$7, MATCH("基础生命值A", 原始数据!$J$2:$J$7, 0), MATCH($E97, 原始数据!$K$1:$Q$1, 0))&amp;"-"&amp;INDEX(原始数据!$K$2:$Q$7, MATCH("基础生命值B", 原始数据!$J$2:$J$7, 0), MATCH($E97, 原始数据!$K$1:$Q$1, 0))</f>
        <v>1388.57-1846.12</v>
      </c>
      <c r="AU97" s="13" t="str">
        <f>INDEX(原始数据!$K$2:$Q$7, MATCH("基础生命值A", 原始数据!$J$2:$J$7, 0), MATCH($E97, 原始数据!$K$1:$Q$1, 0))&amp;"-"&amp;INDEX(原始数据!$K$2:$Q$7, MATCH("基础生命值B", 原始数据!$J$2:$J$7, 0), MATCH($E97, 原始数据!$K$1:$Q$1, 0))</f>
        <v>1388.57-1846.12</v>
      </c>
      <c r="AV97" s="1" t="s">
        <v>171</v>
      </c>
    </row>
    <row r="98" spans="2:48" x14ac:dyDescent="0.2">
      <c r="B98">
        <f>ID编号[id编号]*1000+ROW()-6</f>
        <v>108092</v>
      </c>
      <c r="C98" s="1" t="s">
        <v>135</v>
      </c>
      <c r="D98">
        <v>0</v>
      </c>
      <c r="E98">
        <v>3</v>
      </c>
      <c r="G98">
        <v>2</v>
      </c>
      <c r="I98" s="13"/>
      <c r="J98" s="13"/>
      <c r="M98" s="13"/>
      <c r="N98" s="13"/>
      <c r="O98" s="13"/>
      <c r="P98" s="13"/>
      <c r="S98" s="13"/>
      <c r="T98" s="13"/>
      <c r="AA98" s="13"/>
      <c r="AC98" s="13"/>
      <c r="AL98" s="13" t="str">
        <f>INDEX(原始数据!$K$2:$Q$7, MATCH("基础攻击力A", 原始数据!$J$2:$J$7, 0), MATCH($E98, 原始数据!$K$1:$Q$1, 0))&amp;"-"&amp;INDEX(原始数据!$K$2:$Q$7, MATCH("基础攻击力B", 原始数据!$J$2:$J$7, 0), MATCH($E98, 原始数据!$K$1:$Q$1, 0))</f>
        <v>95.82-146.28</v>
      </c>
      <c r="AM98" s="13" t="str">
        <f>INDEX(原始数据!$K$2:$Q$7, MATCH("基础攻击力A", 原始数据!$J$2:$J$7, 0), MATCH($E98, 原始数据!$K$1:$Q$1, 0))&amp;"-"&amp;INDEX(原始数据!$K$2:$Q$7, MATCH("基础攻击力B", 原始数据!$J$2:$J$7, 0), MATCH($E98, 原始数据!$K$1:$Q$1, 0))</f>
        <v>95.82-146.28</v>
      </c>
      <c r="AN98" s="13" t="str">
        <f>INDEX(原始数据!$K$2:$Q$7, MATCH("基础攻击力A", 原始数据!$J$2:$J$7, 0), MATCH($E98, 原始数据!$K$1:$Q$1, 0))&amp;"-"&amp;INDEX(原始数据!$K$2:$Q$7, MATCH("基础攻击力B", 原始数据!$J$2:$J$7, 0), MATCH($E98, 原始数据!$K$1:$Q$1, 0))</f>
        <v>95.82-146.28</v>
      </c>
      <c r="AO98" s="13" t="str">
        <f>INDEX(原始数据!$K$2:$Q$7, MATCH("基础攻击力A", 原始数据!$J$2:$J$7, 0), MATCH($E98, 原始数据!$K$1:$Q$1, 0))&amp;"-"&amp;INDEX(原始数据!$K$2:$Q$7, MATCH("基础攻击力B", 原始数据!$J$2:$J$7, 0), MATCH($E98, 原始数据!$K$1:$Q$1, 0))</f>
        <v>95.82-146.28</v>
      </c>
      <c r="AP98" s="13" t="str">
        <f>INDEX(原始数据!$K$2:$Q$7, MATCH("基础防御力A", 原始数据!$J$2:$J$7, 0), MATCH($E98, 原始数据!$K$1:$Q$1, 0))&amp;"-"&amp;INDEX(原始数据!$K$2:$Q$7, MATCH("基础防御力B", 原始数据!$J$2:$J$7, 0), MATCH($E98, 原始数据!$K$1:$Q$1, 0))</f>
        <v>126-186</v>
      </c>
      <c r="AQ98" s="13" t="str">
        <f>INDEX(原始数据!$K$2:$Q$7, MATCH("基础防御力A", 原始数据!$J$2:$J$7, 0), MATCH($E98, 原始数据!$K$1:$Q$1, 0))&amp;"-"&amp;INDEX(原始数据!$K$2:$Q$7, MATCH("基础防御力B", 原始数据!$J$2:$J$7, 0), MATCH($E98, 原始数据!$K$1:$Q$1, 0))</f>
        <v>126-186</v>
      </c>
      <c r="AR98" s="13" t="str">
        <f>INDEX(原始数据!$K$2:$Q$7, MATCH("基础防御力A", 原始数据!$J$2:$J$7, 0), MATCH($E98, 原始数据!$K$1:$Q$1, 0))&amp;"-"&amp;INDEX(原始数据!$K$2:$Q$7, MATCH("基础防御力B", 原始数据!$J$2:$J$7, 0), MATCH($E98, 原始数据!$K$1:$Q$1, 0))</f>
        <v>126-186</v>
      </c>
      <c r="AS98" s="13" t="str">
        <f>INDEX(原始数据!$K$2:$Q$7, MATCH("基础防御力A", 原始数据!$J$2:$J$7, 0), MATCH($E98, 原始数据!$K$1:$Q$1, 0))&amp;"-"&amp;INDEX(原始数据!$K$2:$Q$7, MATCH("基础防御力B", 原始数据!$J$2:$J$7, 0), MATCH($E98, 原始数据!$K$1:$Q$1, 0))</f>
        <v>126-186</v>
      </c>
      <c r="AT98" s="13" t="str">
        <f>INDEX(原始数据!$K$2:$Q$7, MATCH("基础生命值A", 原始数据!$J$2:$J$7, 0), MATCH($E98, 原始数据!$K$1:$Q$1, 0))&amp;"-"&amp;INDEX(原始数据!$K$2:$Q$7, MATCH("基础生命值B", 原始数据!$J$2:$J$7, 0), MATCH($E98, 原始数据!$K$1:$Q$1, 0))</f>
        <v>1745.81-2315.58</v>
      </c>
      <c r="AU98" s="13" t="str">
        <f>INDEX(原始数据!$K$2:$Q$7, MATCH("基础生命值A", 原始数据!$J$2:$J$7, 0), MATCH($E98, 原始数据!$K$1:$Q$1, 0))&amp;"-"&amp;INDEX(原始数据!$K$2:$Q$7, MATCH("基础生命值B", 原始数据!$J$2:$J$7, 0), MATCH($E98, 原始数据!$K$1:$Q$1, 0))</f>
        <v>1745.81-2315.58</v>
      </c>
      <c r="AV98" s="1" t="s">
        <v>172</v>
      </c>
    </row>
    <row r="99" spans="2:48" x14ac:dyDescent="0.2">
      <c r="B99">
        <f>ID编号[id编号]*1000+ROW()-6</f>
        <v>108093</v>
      </c>
      <c r="C99" s="1" t="s">
        <v>185</v>
      </c>
      <c r="D99">
        <v>2</v>
      </c>
      <c r="E99">
        <v>2</v>
      </c>
      <c r="F99">
        <v>2</v>
      </c>
      <c r="G99">
        <v>3</v>
      </c>
      <c r="U99" s="13" t="str">
        <f>INDEX(原始数据!$B$3:$H$26, MATCH(U$2, 原始数据!$A$3:$A$26, 0), MATCH($E99, 原始数据!$B$2:$H$2, 0))*0.85&amp;"-"&amp;INDEX(原始数据!$B$3:$H$26, MATCH(U$2, 原始数据!$A$3:$A$26, 0), MATCH($E99, 原始数据!$B$2:$H$2, 0))*1</f>
        <v>1.7-2</v>
      </c>
      <c r="V99" s="13" t="str">
        <f>INDEX(原始数据!$B$3:$H$26, MATCH(V$2, 原始数据!$A$3:$A$26, 0), MATCH($E99, 原始数据!$B$2:$H$2, 0))*0.85&amp;"-"&amp;INDEX(原始数据!$B$3:$H$26, MATCH(V$2, 原始数据!$A$3:$A$26, 0), MATCH($E99, 原始数据!$B$2:$H$2, 0))*1</f>
        <v>6.8-8</v>
      </c>
      <c r="AA99" s="13"/>
      <c r="AB99" s="13" t="str">
        <f>TEXT(INDEX(原始数据!$B$3:$H$26, MATCH(AB$2, 原始数据!$A$3:$A$26, 0), MATCH($E99, 原始数据!$B$2:$H$2, 0))*80,"0.00")&amp;"-"&amp;TEXT(INDEX(原始数据!$B$3:$H$26, MATCH(AB$2, 原始数据!$A$3:$A$26, 0), MATCH($E99, 原始数据!$B$2:$H$2, 0))*0.95,"0.00%")</f>
        <v>2.40-2.85%</v>
      </c>
      <c r="AC99" s="13" t="str">
        <f>INDEX(原始数据!$B$3:$H$26, MATCH(AC$2, 原始数据!$A$3:$A$26, 0), MATCH($E99, 原始数据!$B$2:$H$2, 0))*0.85&amp;"-"&amp;INDEX(原始数据!$B$3:$H$26, MATCH(AC$2, 原始数据!$A$3:$A$26, 0), MATCH($E99, 原始数据!$B$2:$H$2, 0))*1</f>
        <v>127.5-150</v>
      </c>
      <c r="AV99" s="1" t="s">
        <v>197</v>
      </c>
    </row>
    <row r="100" spans="2:48" x14ac:dyDescent="0.2">
      <c r="B100">
        <f>ID编号[id编号]*1000+ROW()-6</f>
        <v>108094</v>
      </c>
      <c r="C100" s="1" t="s">
        <v>186</v>
      </c>
      <c r="D100">
        <v>2</v>
      </c>
      <c r="E100">
        <v>3</v>
      </c>
      <c r="F100">
        <v>2</v>
      </c>
      <c r="G100">
        <v>3</v>
      </c>
      <c r="U100" s="13" t="str">
        <f>INDEX(原始数据!$B$3:$H$26, MATCH(U$2, 原始数据!$A$3:$A$26, 0), MATCH($E100, 原始数据!$B$2:$H$2, 0))*0.85&amp;"-"&amp;INDEX(原始数据!$B$3:$H$26, MATCH(U$2, 原始数据!$A$3:$A$26, 0), MATCH($E100, 原始数据!$B$2:$H$2, 0))*1</f>
        <v>2.55-3</v>
      </c>
      <c r="V100" s="13" t="str">
        <f>INDEX(原始数据!$B$3:$H$26, MATCH(V$2, 原始数据!$A$3:$A$26, 0), MATCH($E100, 原始数据!$B$2:$H$2, 0))*0.85&amp;"-"&amp;INDEX(原始数据!$B$3:$H$26, MATCH(V$2, 原始数据!$A$3:$A$26, 0), MATCH($E100, 原始数据!$B$2:$H$2, 0))*1</f>
        <v>10.2-12</v>
      </c>
      <c r="AA100" s="13"/>
      <c r="AB100" s="13" t="str">
        <f>TEXT(INDEX(原始数据!$B$3:$H$26, MATCH(AB$2, 原始数据!$A$3:$A$26, 0), MATCH($E100, 原始数据!$B$2:$H$2, 0))*80,"0.00")&amp;"-"&amp;TEXT(INDEX(原始数据!$B$3:$H$26, MATCH(AB$2, 原始数据!$A$3:$A$26, 0), MATCH($E100, 原始数据!$B$2:$H$2, 0))*0.95,"0.00%")</f>
        <v>3.60-4.28%</v>
      </c>
      <c r="AC100" s="13" t="str">
        <f>INDEX(原始数据!$B$3:$H$26, MATCH(AC$2, 原始数据!$A$3:$A$26, 0), MATCH($E100, 原始数据!$B$2:$H$2, 0))*0.8&amp;"-"&amp;INDEX(原始数据!$B$3:$H$26, MATCH(AC$2, 原始数据!$A$3:$A$26, 0), MATCH($E100, 原始数据!$B$2:$H$2, 0))*0.95</f>
        <v>180-213.75</v>
      </c>
      <c r="AV100" s="1" t="s">
        <v>198</v>
      </c>
    </row>
    <row r="101" spans="2:48" x14ac:dyDescent="0.2">
      <c r="B101">
        <f>ID编号[id编号]*1000+ROW()-6</f>
        <v>108095</v>
      </c>
      <c r="C101" s="1" t="s">
        <v>187</v>
      </c>
      <c r="D101">
        <v>2</v>
      </c>
      <c r="E101">
        <v>4</v>
      </c>
      <c r="F101">
        <v>2</v>
      </c>
      <c r="G101">
        <v>3</v>
      </c>
      <c r="U101" s="13" t="str">
        <f>INDEX(原始数据!$B$3:$H$26, MATCH(U$2, 原始数据!$A$3:$A$26, 0), MATCH($E101, 原始数据!$B$2:$H$2, 0))*0.85&amp;"-"&amp;INDEX(原始数据!$B$3:$H$26, MATCH(U$2, 原始数据!$A$3:$A$26, 0), MATCH($E101, 原始数据!$B$2:$H$2, 0))*1</f>
        <v>3.4-4</v>
      </c>
      <c r="V101" s="13" t="str">
        <f>INDEX(原始数据!$B$3:$H$26, MATCH(V$2, 原始数据!$A$3:$A$26, 0), MATCH($E101, 原始数据!$B$2:$H$2, 0))*0.85&amp;"-"&amp;INDEX(原始数据!$B$3:$H$26, MATCH(V$2, 原始数据!$A$3:$A$26, 0), MATCH($E101, 原始数据!$B$2:$H$2, 0))*1</f>
        <v>13.6-16</v>
      </c>
      <c r="AA101" s="13"/>
      <c r="AB101" s="13" t="str">
        <f>TEXT(INDEX(原始数据!$B$3:$H$26, MATCH(AB$2, 原始数据!$A$3:$A$26, 0), MATCH($E101, 原始数据!$B$2:$H$2, 0))*80,"0.00")&amp;"-"&amp;TEXT(INDEX(原始数据!$B$3:$H$26, MATCH(AB$2, 原始数据!$A$3:$A$26, 0), MATCH($E101, 原始数据!$B$2:$H$2, 0))*0.95,"0.00%")</f>
        <v>4.80-5.70%</v>
      </c>
      <c r="AC101" s="13" t="str">
        <f>INDEX(原始数据!$B$3:$H$26, MATCH(AC$2, 原始数据!$A$3:$A$26, 0), MATCH($E101, 原始数据!$B$2:$H$2, 0))*0.8&amp;"-"&amp;INDEX(原始数据!$B$3:$H$26, MATCH(AC$2, 原始数据!$A$3:$A$26, 0), MATCH($E101, 原始数据!$B$2:$H$2, 0))*0.95</f>
        <v>240-285</v>
      </c>
      <c r="AV101" s="1" t="s">
        <v>199</v>
      </c>
    </row>
    <row r="102" spans="2:48" x14ac:dyDescent="0.2">
      <c r="B102">
        <f>ID编号[id编号]*1000+ROW()-6</f>
        <v>108096</v>
      </c>
      <c r="C102" s="1" t="s">
        <v>188</v>
      </c>
      <c r="D102">
        <v>2</v>
      </c>
      <c r="E102">
        <v>5</v>
      </c>
      <c r="F102">
        <v>2</v>
      </c>
      <c r="G102">
        <v>3</v>
      </c>
      <c r="U102" s="13" t="str">
        <f>INDEX(原始数据!$B$3:$H$26, MATCH(U$2, 原始数据!$A$3:$A$26, 0), MATCH($E102, 原始数据!$B$2:$H$2, 0))*0.85&amp;"-"&amp;INDEX(原始数据!$B$3:$H$26, MATCH(U$2, 原始数据!$A$3:$A$26, 0), MATCH($E102, 原始数据!$B$2:$H$2, 0))*1</f>
        <v>4.25-5</v>
      </c>
      <c r="V102" s="13" t="str">
        <f>INDEX(原始数据!$B$3:$H$26, MATCH(V$2, 原始数据!$A$3:$A$26, 0), MATCH($E102, 原始数据!$B$2:$H$2, 0))*0.85&amp;"-"&amp;INDEX(原始数据!$B$3:$H$26, MATCH(V$2, 原始数据!$A$3:$A$26, 0), MATCH($E102, 原始数据!$B$2:$H$2, 0))*1</f>
        <v>17-20</v>
      </c>
      <c r="AA102" s="13"/>
      <c r="AB102" s="13" t="str">
        <f>TEXT(INDEX(原始数据!$B$3:$H$26, MATCH(AB$2, 原始数据!$A$3:$A$26, 0), MATCH($E102, 原始数据!$B$2:$H$2, 0))*80,"0.00")&amp;"-"&amp;TEXT(INDEX(原始数据!$B$3:$H$26, MATCH(AB$2, 原始数据!$A$3:$A$26, 0), MATCH($E102, 原始数据!$B$2:$H$2, 0))*0.95,"0.00%")</f>
        <v>6.00-7.13%</v>
      </c>
      <c r="AC102" s="13" t="str">
        <f>INDEX(原始数据!$B$3:$H$26, MATCH(AC$2, 原始数据!$A$3:$A$26, 0), MATCH($E102, 原始数据!$B$2:$H$2, 0))*0.8&amp;"-"&amp;INDEX(原始数据!$B$3:$H$26, MATCH(AC$2, 原始数据!$A$3:$A$26, 0), MATCH($E102, 原始数据!$B$2:$H$2, 0))*0.95</f>
        <v>300-356.25</v>
      </c>
      <c r="AV102" s="1" t="s">
        <v>200</v>
      </c>
    </row>
    <row r="103" spans="2:48" x14ac:dyDescent="0.2">
      <c r="B103">
        <f>ID编号[id编号]*1000+ROW()-6</f>
        <v>108097</v>
      </c>
      <c r="C103" s="1" t="s">
        <v>189</v>
      </c>
      <c r="D103">
        <v>2</v>
      </c>
      <c r="E103">
        <v>6</v>
      </c>
      <c r="F103">
        <v>2</v>
      </c>
      <c r="G103">
        <v>3</v>
      </c>
      <c r="U103" s="13" t="str">
        <f>INDEX(原始数据!$B$3:$H$26, MATCH(U$2, 原始数据!$A$3:$A$26, 0), MATCH($E103, 原始数据!$B$2:$H$2, 0))*0.85&amp;"-"&amp;INDEX(原始数据!$B$3:$H$26, MATCH(U$2, 原始数据!$A$3:$A$26, 0), MATCH($E103, 原始数据!$B$2:$H$2, 0))*1</f>
        <v>5.1-6</v>
      </c>
      <c r="V103" s="13" t="str">
        <f>INDEX(原始数据!$B$3:$H$26, MATCH(V$2, 原始数据!$A$3:$A$26, 0), MATCH($E103, 原始数据!$B$2:$H$2, 0))*0.85&amp;"-"&amp;INDEX(原始数据!$B$3:$H$26, MATCH(V$2, 原始数据!$A$3:$A$26, 0), MATCH($E103, 原始数据!$B$2:$H$2, 0))*1</f>
        <v>20.4-24</v>
      </c>
      <c r="AA103" s="13"/>
      <c r="AB103" s="13" t="str">
        <f>TEXT(INDEX(原始数据!$B$3:$H$26, MATCH(AB$2, 原始数据!$A$3:$A$26, 0), MATCH($E103, 原始数据!$B$2:$H$2, 0))*80,"0.00")&amp;"-"&amp;TEXT(INDEX(原始数据!$B$3:$H$26, MATCH(AB$2, 原始数据!$A$3:$A$26, 0), MATCH($E103, 原始数据!$B$2:$H$2, 0))*0.95,"0.00%")</f>
        <v>7.20-8.55%</v>
      </c>
      <c r="AC103" s="13" t="str">
        <f>INDEX(原始数据!$B$3:$H$26, MATCH(AC$2, 原始数据!$A$3:$A$26, 0), MATCH($E103, 原始数据!$B$2:$H$2, 0))*0.8&amp;"-"&amp;INDEX(原始数据!$B$3:$H$26, MATCH(AC$2, 原始数据!$A$3:$A$26, 0), MATCH($E103, 原始数据!$B$2:$H$2, 0))*0.95</f>
        <v>360-427.5</v>
      </c>
      <c r="AV103" s="1" t="s">
        <v>201</v>
      </c>
    </row>
    <row r="104" spans="2:48" x14ac:dyDescent="0.2">
      <c r="B104">
        <f>ID编号[id编号]*1000+ROW()-6</f>
        <v>108098</v>
      </c>
      <c r="C104" s="1" t="s">
        <v>190</v>
      </c>
      <c r="D104">
        <v>3</v>
      </c>
      <c r="E104">
        <v>2</v>
      </c>
      <c r="F104">
        <v>3</v>
      </c>
      <c r="G104">
        <v>3</v>
      </c>
      <c r="AF104" s="13" t="str">
        <f>INDEX(原始数据!$B$3:$H$26, MATCH(AF$2, 原始数据!$A$3:$A$26, 0), MATCH($E104, 原始数据!$B$2:$H$2, 0))*0.85&amp;"-"&amp;INDEX(原始数据!$B$3:$H$26, MATCH(AF$2, 原始数据!$A$3:$A$26, 0), MATCH($E104, 原始数据!$B$2:$H$2, 0))*1</f>
        <v>1.275-1.5</v>
      </c>
      <c r="AG104" s="13" t="str">
        <f>TEXT(INDEX(原始数据!$B$3:$H$26, MATCH(AG$2, 原始数据!$A$3:$A$26, 0), MATCH($E104, 原始数据!$B$2:$H$2, 0))*85,"0.00")&amp;"-"&amp;TEXT(INDEX(原始数据!$B$3:$H$26, MATCH(AG$2, 原始数据!$A$3:$A$26, 0), MATCH($E104, 原始数据!$B$2:$H$2, 0))*1,"0.00%")</f>
        <v>25.50-30.00%</v>
      </c>
      <c r="AH104" s="13"/>
      <c r="AJ104" s="13" t="str">
        <f>INDEX(原始数据!$B$3:$H$26, MATCH(AJ$2, 原始数据!$A$3:$A$26, 0), MATCH($E104, 原始数据!$B$2:$H$2, 0))*0.85&amp;"-"&amp;INDEX(原始数据!$B$3:$H$26, MATCH(AJ$2, 原始数据!$A$3:$A$26, 0), MATCH($E104, 原始数据!$B$2:$H$2, 0))*1</f>
        <v>1.275-1.5</v>
      </c>
      <c r="AK104" s="13" t="str">
        <f>TEXT(INDEX(原始数据!$B$3:$H$26, MATCH(AK$2, 原始数据!$A$3:$A$26, 0), MATCH($E104, 原始数据!$B$2:$H$2, 0))*85,"0.00")&amp;"-"&amp;TEXT(INDEX(原始数据!$B$3:$H$26, MATCH(AK$2, 原始数据!$A$3:$A$26, 0), MATCH($E104, 原始数据!$B$2:$H$2, 0))*1,"0.00%")</f>
        <v>25.50-30.00%</v>
      </c>
      <c r="AV104" s="1" t="s">
        <v>202</v>
      </c>
    </row>
    <row r="105" spans="2:48" x14ac:dyDescent="0.2">
      <c r="B105">
        <f>ID编号[id编号]*1000+ROW()-6</f>
        <v>108099</v>
      </c>
      <c r="C105" s="1" t="s">
        <v>191</v>
      </c>
      <c r="D105">
        <v>3</v>
      </c>
      <c r="E105">
        <v>3</v>
      </c>
      <c r="F105">
        <v>3</v>
      </c>
      <c r="G105">
        <v>3</v>
      </c>
      <c r="AF105" s="13" t="str">
        <f>INDEX(原始数据!$B$3:$H$26, MATCH(AF$2, 原始数据!$A$3:$A$26, 0), MATCH($E105, 原始数据!$B$2:$H$2, 0))*0.85&amp;"-"&amp;INDEX(原始数据!$B$3:$H$26, MATCH(AF$2, 原始数据!$A$3:$A$26, 0), MATCH($E105, 原始数据!$B$2:$H$2, 0))*1</f>
        <v>1.9125-2.25</v>
      </c>
      <c r="AG105" s="13" t="str">
        <f>TEXT(INDEX(原始数据!$B$3:$H$26, MATCH(AG$2, 原始数据!$A$3:$A$26, 0), MATCH($E105, 原始数据!$B$2:$H$2, 0))*85,"0.00")&amp;"-"&amp;TEXT(INDEX(原始数据!$B$3:$H$26, MATCH(AG$2, 原始数据!$A$3:$A$26, 0), MATCH($E105, 原始数据!$B$2:$H$2, 0))*1,"0.00%")</f>
        <v>38.25-45.00%</v>
      </c>
      <c r="AH105" s="13"/>
      <c r="AJ105" s="13" t="str">
        <f>INDEX(原始数据!$B$3:$H$26, MATCH(AJ$2, 原始数据!$A$3:$A$26, 0), MATCH($E105, 原始数据!$B$2:$H$2, 0))*0.85&amp;"-"&amp;INDEX(原始数据!$B$3:$H$26, MATCH(AJ$2, 原始数据!$A$3:$A$26, 0), MATCH($E105, 原始数据!$B$2:$H$2, 0))*1</f>
        <v>1.9125-2.25</v>
      </c>
      <c r="AK105" s="13" t="str">
        <f>TEXT(INDEX(原始数据!$B$3:$H$26, MATCH(AK$2, 原始数据!$A$3:$A$26, 0), MATCH($E105, 原始数据!$B$2:$H$2, 0))*85,"0.00")&amp;"-"&amp;TEXT(INDEX(原始数据!$B$3:$H$26, MATCH(AK$2, 原始数据!$A$3:$A$26, 0), MATCH($E105, 原始数据!$B$2:$H$2, 0))*1,"0.00%")</f>
        <v>38.25-45.00%</v>
      </c>
      <c r="AV105" s="1" t="s">
        <v>203</v>
      </c>
    </row>
    <row r="106" spans="2:48" x14ac:dyDescent="0.2">
      <c r="B106">
        <f>ID编号[id编号]*1000+ROW()-6</f>
        <v>108100</v>
      </c>
      <c r="C106" s="1" t="s">
        <v>192</v>
      </c>
      <c r="D106">
        <v>3</v>
      </c>
      <c r="E106">
        <v>4</v>
      </c>
      <c r="F106">
        <v>3</v>
      </c>
      <c r="G106">
        <v>3</v>
      </c>
      <c r="AF106" s="13" t="str">
        <f>INDEX(原始数据!$B$3:$H$26, MATCH(AF$2, 原始数据!$A$3:$A$26, 0), MATCH($E106, 原始数据!$B$2:$H$2, 0))*0.85&amp;"-"&amp;INDEX(原始数据!$B$3:$H$26, MATCH(AF$2, 原始数据!$A$3:$A$26, 0), MATCH($E106, 原始数据!$B$2:$H$2, 0))*1</f>
        <v>2.55-3</v>
      </c>
      <c r="AG106" s="13" t="str">
        <f>TEXT(INDEX(原始数据!$B$3:$H$26, MATCH(AG$2, 原始数据!$A$3:$A$26, 0), MATCH($E106, 原始数据!$B$2:$H$2, 0))*85,"0.00")&amp;"-"&amp;TEXT(INDEX(原始数据!$B$3:$H$26, MATCH(AG$2, 原始数据!$A$3:$A$26, 0), MATCH($E106, 原始数据!$B$2:$H$2, 0))*1,"0.00%")</f>
        <v>51.00-60.00%</v>
      </c>
      <c r="AH106" s="13"/>
      <c r="AJ106" s="13" t="str">
        <f>INDEX(原始数据!$B$3:$H$26, MATCH(AJ$2, 原始数据!$A$3:$A$26, 0), MATCH($E106, 原始数据!$B$2:$H$2, 0))*0.85&amp;"-"&amp;INDEX(原始数据!$B$3:$H$26, MATCH(AJ$2, 原始数据!$A$3:$A$26, 0), MATCH($E106, 原始数据!$B$2:$H$2, 0))*1</f>
        <v>2.55-3</v>
      </c>
      <c r="AK106" s="13" t="str">
        <f>TEXT(INDEX(原始数据!$B$3:$H$26, MATCH(AK$2, 原始数据!$A$3:$A$26, 0), MATCH($E106, 原始数据!$B$2:$H$2, 0))*85,"0.00")&amp;"-"&amp;TEXT(INDEX(原始数据!$B$3:$H$26, MATCH(AK$2, 原始数据!$A$3:$A$26, 0), MATCH($E106, 原始数据!$B$2:$H$2, 0))*1,"0.00%")</f>
        <v>51.00-60.00%</v>
      </c>
      <c r="AV106" s="1" t="s">
        <v>204</v>
      </c>
    </row>
    <row r="107" spans="2:48" x14ac:dyDescent="0.2">
      <c r="B107">
        <f>ID编号[id编号]*1000+ROW()-6</f>
        <v>108101</v>
      </c>
      <c r="C107" s="1" t="s">
        <v>193</v>
      </c>
      <c r="D107">
        <v>3</v>
      </c>
      <c r="E107">
        <v>5</v>
      </c>
      <c r="F107">
        <v>3</v>
      </c>
      <c r="G107">
        <v>3</v>
      </c>
      <c r="AF107" s="13" t="str">
        <f>INDEX(原始数据!$B$3:$H$26, MATCH(AF$2, 原始数据!$A$3:$A$26, 0), MATCH($E107, 原始数据!$B$2:$H$2, 0))*0.85&amp;"-"&amp;INDEX(原始数据!$B$3:$H$26, MATCH(AF$2, 原始数据!$A$3:$A$26, 0), MATCH($E107, 原始数据!$B$2:$H$2, 0))*1</f>
        <v>3.1875-3.75</v>
      </c>
      <c r="AG107" s="13" t="str">
        <f>TEXT(INDEX(原始数据!$B$3:$H$26, MATCH(AG$2, 原始数据!$A$3:$A$26, 0), MATCH($E107, 原始数据!$B$2:$H$2, 0))*85,"0.00")&amp;"-"&amp;TEXT(INDEX(原始数据!$B$3:$H$26, MATCH(AG$2, 原始数据!$A$3:$A$26, 0), MATCH($E107, 原始数据!$B$2:$H$2, 0))*1,"0.00%")</f>
        <v>63.75-75.00%</v>
      </c>
      <c r="AH107" s="13"/>
      <c r="AJ107" s="13" t="str">
        <f>INDEX(原始数据!$B$3:$H$26, MATCH(AJ$2, 原始数据!$A$3:$A$26, 0), MATCH($E107, 原始数据!$B$2:$H$2, 0))*0.85&amp;"-"&amp;INDEX(原始数据!$B$3:$H$26, MATCH(AJ$2, 原始数据!$A$3:$A$26, 0), MATCH($E107, 原始数据!$B$2:$H$2, 0))*1</f>
        <v>3.1875-3.75</v>
      </c>
      <c r="AK107" s="13" t="str">
        <f>TEXT(INDEX(原始数据!$B$3:$H$26, MATCH(AK$2, 原始数据!$A$3:$A$26, 0), MATCH($E107, 原始数据!$B$2:$H$2, 0))*85,"0.00")&amp;"-"&amp;TEXT(INDEX(原始数据!$B$3:$H$26, MATCH(AK$2, 原始数据!$A$3:$A$26, 0), MATCH($E107, 原始数据!$B$2:$H$2, 0))*1,"0.00%")</f>
        <v>63.75-75.00%</v>
      </c>
      <c r="AV107" s="1" t="s">
        <v>205</v>
      </c>
    </row>
    <row r="108" spans="2:48" x14ac:dyDescent="0.2">
      <c r="B108">
        <f>ID编号[id编号]*1000+ROW()-6</f>
        <v>108102</v>
      </c>
      <c r="C108" s="1" t="s">
        <v>194</v>
      </c>
      <c r="D108">
        <v>3</v>
      </c>
      <c r="E108">
        <v>6</v>
      </c>
      <c r="F108">
        <v>3</v>
      </c>
      <c r="G108">
        <v>3</v>
      </c>
      <c r="AF108" s="13" t="str">
        <f>INDEX(原始数据!$B$3:$H$26, MATCH(AF$2, 原始数据!$A$3:$A$26, 0), MATCH($E108, 原始数据!$B$2:$H$2, 0))*0.85&amp;"-"&amp;INDEX(原始数据!$B$3:$H$26, MATCH(AF$2, 原始数据!$A$3:$A$26, 0), MATCH($E108, 原始数据!$B$2:$H$2, 0))*1</f>
        <v>3.825-4.5</v>
      </c>
      <c r="AG108" s="13" t="str">
        <f>TEXT(INDEX(原始数据!$B$3:$H$26, MATCH(AG$2, 原始数据!$A$3:$A$26, 0), MATCH($E108, 原始数据!$B$2:$H$2, 0))*85,"0.00")&amp;"-"&amp;TEXT(INDEX(原始数据!$B$3:$H$26, MATCH(AG$2, 原始数据!$A$3:$A$26, 0), MATCH($E108, 原始数据!$B$2:$H$2, 0))*1,"0.00%")</f>
        <v>76.50-90.00%</v>
      </c>
      <c r="AH108" s="13"/>
      <c r="AJ108" s="13" t="str">
        <f>INDEX(原始数据!$B$3:$H$26, MATCH(AJ$2, 原始数据!$A$3:$A$26, 0), MATCH($E108, 原始数据!$B$2:$H$2, 0))*0.85&amp;"-"&amp;INDEX(原始数据!$B$3:$H$26, MATCH(AJ$2, 原始数据!$A$3:$A$26, 0), MATCH($E108, 原始数据!$B$2:$H$2, 0))*1</f>
        <v>3.825-4.5</v>
      </c>
      <c r="AK108" s="13" t="str">
        <f>TEXT(INDEX(原始数据!$B$3:$H$26, MATCH(AK$2, 原始数据!$A$3:$A$26, 0), MATCH($E108, 原始数据!$B$2:$H$2, 0))*85,"0.00")&amp;"-"&amp;TEXT(INDEX(原始数据!$B$3:$H$26, MATCH(AK$2, 原始数据!$A$3:$A$26, 0), MATCH($E108, 原始数据!$B$2:$H$2, 0))*1,"0.00%")</f>
        <v>76.50-90.00%</v>
      </c>
      <c r="AV108" s="1" t="s">
        <v>206</v>
      </c>
    </row>
    <row r="109" spans="2:48" x14ac:dyDescent="0.2">
      <c r="B109">
        <f>ID编号[id编号]*1000+ROW()-6</f>
        <v>108103</v>
      </c>
      <c r="C109" s="1" t="s">
        <v>195</v>
      </c>
      <c r="D109">
        <v>0</v>
      </c>
      <c r="E109">
        <v>3</v>
      </c>
      <c r="G109">
        <v>3</v>
      </c>
      <c r="I109" s="13"/>
      <c r="J109" s="13"/>
      <c r="M109" s="13"/>
      <c r="N109" s="13"/>
      <c r="O109" s="13"/>
      <c r="P109" s="13"/>
      <c r="S109" s="13"/>
      <c r="T109" s="13"/>
      <c r="AA109" s="13"/>
      <c r="AC109" s="13"/>
      <c r="AL109" s="13" t="str">
        <f>INDEX(原始数据!$K$2:$Q$7, MATCH("基础攻击力A", 原始数据!$J$2:$J$7, 0), MATCH($E109, 原始数据!$K$1:$Q$1, 0))&amp;"-"&amp;INDEX(原始数据!$K$2:$Q$7, MATCH("基础攻击力B", 原始数据!$J$2:$J$7, 0), MATCH($E109, 原始数据!$K$1:$Q$1, 0))</f>
        <v>95.82-146.28</v>
      </c>
      <c r="AM109" s="13" t="str">
        <f>INDEX(原始数据!$K$2:$Q$7, MATCH("基础攻击力A", 原始数据!$J$2:$J$7, 0), MATCH($E109, 原始数据!$K$1:$Q$1, 0))&amp;"-"&amp;INDEX(原始数据!$K$2:$Q$7, MATCH("基础攻击力B", 原始数据!$J$2:$J$7, 0), MATCH($E109, 原始数据!$K$1:$Q$1, 0))</f>
        <v>95.82-146.28</v>
      </c>
      <c r="AN109" s="13" t="str">
        <f>INDEX(原始数据!$K$2:$Q$7, MATCH("基础攻击力A", 原始数据!$J$2:$J$7, 0), MATCH($E109, 原始数据!$K$1:$Q$1, 0))&amp;"-"&amp;INDEX(原始数据!$K$2:$Q$7, MATCH("基础攻击力B", 原始数据!$J$2:$J$7, 0), MATCH($E109, 原始数据!$K$1:$Q$1, 0))</f>
        <v>95.82-146.28</v>
      </c>
      <c r="AO109" s="13" t="str">
        <f>INDEX(原始数据!$K$2:$Q$7, MATCH("基础攻击力A", 原始数据!$J$2:$J$7, 0), MATCH($E109, 原始数据!$K$1:$Q$1, 0))&amp;"-"&amp;INDEX(原始数据!$K$2:$Q$7, MATCH("基础攻击力B", 原始数据!$J$2:$J$7, 0), MATCH($E109, 原始数据!$K$1:$Q$1, 0))</f>
        <v>95.82-146.28</v>
      </c>
      <c r="AP109" s="13" t="str">
        <f>INDEX(原始数据!$K$2:$Q$7, MATCH("基础防御力A", 原始数据!$J$2:$J$7, 0), MATCH($E109, 原始数据!$K$1:$Q$1, 0))&amp;"-"&amp;INDEX(原始数据!$K$2:$Q$7, MATCH("基础防御力B", 原始数据!$J$2:$J$7, 0), MATCH($E109, 原始数据!$K$1:$Q$1, 0))</f>
        <v>126-186</v>
      </c>
      <c r="AQ109" s="13" t="str">
        <f>INDEX(原始数据!$K$2:$Q$7, MATCH("基础防御力A", 原始数据!$J$2:$J$7, 0), MATCH($E109, 原始数据!$K$1:$Q$1, 0))&amp;"-"&amp;INDEX(原始数据!$K$2:$Q$7, MATCH("基础防御力B", 原始数据!$J$2:$J$7, 0), MATCH($E109, 原始数据!$K$1:$Q$1, 0))</f>
        <v>126-186</v>
      </c>
      <c r="AR109" s="13" t="str">
        <f>INDEX(原始数据!$K$2:$Q$7, MATCH("基础防御力A", 原始数据!$J$2:$J$7, 0), MATCH($E109, 原始数据!$K$1:$Q$1, 0))&amp;"-"&amp;INDEX(原始数据!$K$2:$Q$7, MATCH("基础防御力B", 原始数据!$J$2:$J$7, 0), MATCH($E109, 原始数据!$K$1:$Q$1, 0))</f>
        <v>126-186</v>
      </c>
      <c r="AS109" s="13" t="str">
        <f>INDEX(原始数据!$K$2:$Q$7, MATCH("基础防御力A", 原始数据!$J$2:$J$7, 0), MATCH($E109, 原始数据!$K$1:$Q$1, 0))&amp;"-"&amp;INDEX(原始数据!$K$2:$Q$7, MATCH("基础防御力B", 原始数据!$J$2:$J$7, 0), MATCH($E109, 原始数据!$K$1:$Q$1, 0))</f>
        <v>126-186</v>
      </c>
      <c r="AT109" s="13" t="str">
        <f>INDEX(原始数据!$K$2:$Q$7, MATCH("基础生命值A", 原始数据!$J$2:$J$7, 0), MATCH($E109, 原始数据!$K$1:$Q$1, 0))&amp;"-"&amp;INDEX(原始数据!$K$2:$Q$7, MATCH("基础生命值B", 原始数据!$J$2:$J$7, 0), MATCH($E109, 原始数据!$K$1:$Q$1, 0))</f>
        <v>1745.81-2315.58</v>
      </c>
      <c r="AU109" s="13" t="str">
        <f>INDEX(原始数据!$K$2:$Q$7, MATCH("基础生命值A", 原始数据!$J$2:$J$7, 0), MATCH($E109, 原始数据!$K$1:$Q$1, 0))&amp;"-"&amp;INDEX(原始数据!$K$2:$Q$7, MATCH("基础生命值B", 原始数据!$J$2:$J$7, 0), MATCH($E109, 原始数据!$K$1:$Q$1, 0))</f>
        <v>1745.81-2315.58</v>
      </c>
      <c r="AV109" s="1" t="s">
        <v>207</v>
      </c>
    </row>
    <row r="110" spans="2:48" x14ac:dyDescent="0.2">
      <c r="B110">
        <f>ID编号[id编号]*1000+ROW()-6</f>
        <v>108104</v>
      </c>
      <c r="C110" s="1" t="s">
        <v>196</v>
      </c>
      <c r="D110">
        <v>0</v>
      </c>
      <c r="E110">
        <v>4</v>
      </c>
      <c r="G110">
        <v>3</v>
      </c>
      <c r="I110" s="13"/>
      <c r="J110" s="13"/>
      <c r="M110" s="13"/>
      <c r="N110" s="13"/>
      <c r="O110" s="13"/>
      <c r="P110" s="13"/>
      <c r="S110" s="13"/>
      <c r="T110" s="13"/>
      <c r="AA110" s="13"/>
      <c r="AC110" s="13"/>
      <c r="AL110" s="13" t="str">
        <f>INDEX(原始数据!$K$2:$Q$7, MATCH("基础攻击力A", 原始数据!$J$2:$J$7, 0), MATCH($E110, 原始数据!$K$1:$Q$1, 0))&amp;"-"&amp;INDEX(原始数据!$K$2:$Q$7, MATCH("基础攻击力B", 原始数据!$J$2:$J$7, 0), MATCH($E110, 原始数据!$K$1:$Q$1, 0))</f>
        <v>135.8-189.88</v>
      </c>
      <c r="AM110" s="13" t="str">
        <f>INDEX(原始数据!$K$2:$Q$7, MATCH("基础攻击力A", 原始数据!$J$2:$J$7, 0), MATCH($E110, 原始数据!$K$1:$Q$1, 0))&amp;"-"&amp;INDEX(原始数据!$K$2:$Q$7, MATCH("基础攻击力B", 原始数据!$J$2:$J$7, 0), MATCH($E110, 原始数据!$K$1:$Q$1, 0))</f>
        <v>135.8-189.88</v>
      </c>
      <c r="AN110" s="13" t="str">
        <f>INDEX(原始数据!$K$2:$Q$7, MATCH("基础攻击力A", 原始数据!$J$2:$J$7, 0), MATCH($E110, 原始数据!$K$1:$Q$1, 0))&amp;"-"&amp;INDEX(原始数据!$K$2:$Q$7, MATCH("基础攻击力B", 原始数据!$J$2:$J$7, 0), MATCH($E110, 原始数据!$K$1:$Q$1, 0))</f>
        <v>135.8-189.88</v>
      </c>
      <c r="AO110" s="13" t="str">
        <f>INDEX(原始数据!$K$2:$Q$7, MATCH("基础攻击力A", 原始数据!$J$2:$J$7, 0), MATCH($E110, 原始数据!$K$1:$Q$1, 0))&amp;"-"&amp;INDEX(原始数据!$K$2:$Q$7, MATCH("基础攻击力B", 原始数据!$J$2:$J$7, 0), MATCH($E110, 原始数据!$K$1:$Q$1, 0))</f>
        <v>135.8-189.88</v>
      </c>
      <c r="AP110" s="13" t="str">
        <f>INDEX(原始数据!$K$2:$Q$7, MATCH("基础防御力A", 原始数据!$J$2:$J$7, 0), MATCH($E110, 原始数据!$K$1:$Q$1, 0))&amp;"-"&amp;INDEX(原始数据!$K$2:$Q$7, MATCH("基础防御力B", 原始数据!$J$2:$J$7, 0), MATCH($E110, 原始数据!$K$1:$Q$1, 0))</f>
        <v>174-234</v>
      </c>
      <c r="AQ110" s="13" t="str">
        <f>INDEX(原始数据!$K$2:$Q$7, MATCH("基础防御力A", 原始数据!$J$2:$J$7, 0), MATCH($E110, 原始数据!$K$1:$Q$1, 0))&amp;"-"&amp;INDEX(原始数据!$K$2:$Q$7, MATCH("基础防御力B", 原始数据!$J$2:$J$7, 0), MATCH($E110, 原始数据!$K$1:$Q$1, 0))</f>
        <v>174-234</v>
      </c>
      <c r="AR110" s="13" t="str">
        <f>INDEX(原始数据!$K$2:$Q$7, MATCH("基础防御力A", 原始数据!$J$2:$J$7, 0), MATCH($E110, 原始数据!$K$1:$Q$1, 0))&amp;"-"&amp;INDEX(原始数据!$K$2:$Q$7, MATCH("基础防御力B", 原始数据!$J$2:$J$7, 0), MATCH($E110, 原始数据!$K$1:$Q$1, 0))</f>
        <v>174-234</v>
      </c>
      <c r="AS110" s="13" t="str">
        <f>INDEX(原始数据!$K$2:$Q$7, MATCH("基础防御力A", 原始数据!$J$2:$J$7, 0), MATCH($E110, 原始数据!$K$1:$Q$1, 0))&amp;"-"&amp;INDEX(原始数据!$K$2:$Q$7, MATCH("基础防御力B", 原始数据!$J$2:$J$7, 0), MATCH($E110, 原始数据!$K$1:$Q$1, 0))</f>
        <v>174-234</v>
      </c>
      <c r="AT110" s="13" t="str">
        <f>INDEX(原始数据!$K$2:$Q$7, MATCH("基础生命值A", 原始数据!$J$2:$J$7, 0), MATCH($E110, 原始数据!$K$1:$Q$1, 0))&amp;"-"&amp;INDEX(原始数据!$K$2:$Q$7, MATCH("基础生命值B", 原始数据!$J$2:$J$7, 0), MATCH($E110, 原始数据!$K$1:$Q$1, 0))</f>
        <v>2187.43-2897.64</v>
      </c>
      <c r="AU110" s="13" t="str">
        <f>INDEX(原始数据!$K$2:$Q$7, MATCH("基础生命值A", 原始数据!$J$2:$J$7, 0), MATCH($E110, 原始数据!$K$1:$Q$1, 0))&amp;"-"&amp;INDEX(原始数据!$K$2:$Q$7, MATCH("基础生命值B", 原始数据!$J$2:$J$7, 0), MATCH($E110, 原始数据!$K$1:$Q$1, 0))</f>
        <v>2187.43-2897.64</v>
      </c>
      <c r="AV110" s="1" t="s">
        <v>208</v>
      </c>
    </row>
    <row r="111" spans="2:48" x14ac:dyDescent="0.2">
      <c r="B111">
        <f>ID编号[id编号]*1000+ROW()-6</f>
        <v>108105</v>
      </c>
      <c r="C111" s="1" t="s">
        <v>137</v>
      </c>
      <c r="D111">
        <v>2</v>
      </c>
      <c r="E111">
        <v>5</v>
      </c>
      <c r="F111">
        <v>0</v>
      </c>
      <c r="G111">
        <v>4</v>
      </c>
      <c r="K111" s="13" t="str">
        <f>TEXT(INDEX(原始数据!$B$3:$H$26, MATCH(K$2, 原始数据!$A$3:$A$26, 0), MATCH($E111, 原始数据!$B$2:$H$2, 0))*80,"0.00")&amp;"-"&amp;TEXT(INDEX(原始数据!$B$3:$H$26, MATCH(K$2, 原始数据!$A$3:$A$26, 0), MATCH($E111, 原始数据!$B$2:$H$2, 0))*0.95,"0.00%")</f>
        <v>8.00-9.50%</v>
      </c>
      <c r="L111" s="13" t="str">
        <f>TEXT(INDEX(原始数据!$B$3:$H$26, MATCH(L$2, 原始数据!$A$3:$A$26, 0), MATCH($E111, 原始数据!$B$2:$H$2, 0))*80,"0.00")&amp;"-"&amp;TEXT(INDEX(原始数据!$B$3:$H$26, MATCH(L$2, 原始数据!$A$3:$A$26, 0), MATCH($E111, 原始数据!$B$2:$H$2, 0))*0.95,"0.00%")</f>
        <v>8.00-9.50%</v>
      </c>
      <c r="M111" s="13" t="str">
        <f>INDEX(原始数据!$B$3:$H$26, MATCH(M$2, 原始数据!$A$3:$A$26, 0), MATCH($E111, 原始数据!$B$2:$H$2, 0))*0.8&amp;"-"&amp;INDEX(原始数据!$B$3:$H$26, MATCH(M$2, 原始数据!$A$3:$A$26, 0), MATCH($E111, 原始数据!$B$2:$H$2, 0))*0.95</f>
        <v>30-35.625</v>
      </c>
      <c r="N111" s="13" t="str">
        <f>INDEX(原始数据!$B$3:$H$26, MATCH(N$2, 原始数据!$A$3:$A$26, 0), MATCH($E111, 原始数据!$B$2:$H$2, 0))*0.8&amp;"-"&amp;INDEX(原始数据!$B$3:$H$26, MATCH(N$2, 原始数据!$A$3:$A$26, 0), MATCH($E111, 原始数据!$B$2:$H$2, 0))*0.95</f>
        <v>30-35.625</v>
      </c>
      <c r="AV111" s="1" t="s">
        <v>173</v>
      </c>
    </row>
    <row r="112" spans="2:48" x14ac:dyDescent="0.2">
      <c r="B112">
        <f>ID编号[id编号]*1000+ROW()-6</f>
        <v>108106</v>
      </c>
      <c r="C112" s="1" t="s">
        <v>138</v>
      </c>
      <c r="D112">
        <v>2</v>
      </c>
      <c r="E112">
        <v>4</v>
      </c>
      <c r="F112">
        <v>0</v>
      </c>
      <c r="G112">
        <v>4</v>
      </c>
      <c r="K112" s="13" t="str">
        <f>TEXT(INDEX(原始数据!$B$3:$H$26, MATCH(K$2, 原始数据!$A$3:$A$26, 0), MATCH($E112, 原始数据!$B$2:$H$2, 0))*80,"0.00")&amp;"-"&amp;TEXT(INDEX(原始数据!$B$3:$H$26, MATCH(K$2, 原始数据!$A$3:$A$26, 0), MATCH($E112, 原始数据!$B$2:$H$2, 0))*0.95,"0.00%")</f>
        <v>6.40-7.60%</v>
      </c>
      <c r="L112" s="13" t="str">
        <f>TEXT(INDEX(原始数据!$B$3:$H$26, MATCH(L$2, 原始数据!$A$3:$A$26, 0), MATCH($E112, 原始数据!$B$2:$H$2, 0))*80,"0.00")&amp;"-"&amp;TEXT(INDEX(原始数据!$B$3:$H$26, MATCH(L$2, 原始数据!$A$3:$A$26, 0), MATCH($E112, 原始数据!$B$2:$H$2, 0))*0.95,"0.00%")</f>
        <v>6.40-7.60%</v>
      </c>
      <c r="M112" s="13" t="str">
        <f>INDEX(原始数据!$B$3:$H$26, MATCH(M$2, 原始数据!$A$3:$A$26, 0), MATCH($E112, 原始数据!$B$2:$H$2, 0))*0.8&amp;"-"&amp;INDEX(原始数据!$B$3:$H$26, MATCH(M$2, 原始数据!$A$3:$A$26, 0), MATCH($E112, 原始数据!$B$2:$H$2, 0))*0.95</f>
        <v>24-28.5</v>
      </c>
      <c r="N112" s="13" t="str">
        <f>INDEX(原始数据!$B$3:$H$26, MATCH(N$2, 原始数据!$A$3:$A$26, 0), MATCH($E112, 原始数据!$B$2:$H$2, 0))*0.8&amp;"-"&amp;INDEX(原始数据!$B$3:$H$26, MATCH(N$2, 原始数据!$A$3:$A$26, 0), MATCH($E112, 原始数据!$B$2:$H$2, 0))*0.95</f>
        <v>24-28.5</v>
      </c>
      <c r="AV112" s="1" t="s">
        <v>174</v>
      </c>
    </row>
    <row r="113" spans="2:48" x14ac:dyDescent="0.2">
      <c r="B113">
        <f>ID编号[id编号]*1000+ROW()-6</f>
        <v>108107</v>
      </c>
      <c r="C113" s="1" t="s">
        <v>139</v>
      </c>
      <c r="D113">
        <v>2</v>
      </c>
      <c r="E113">
        <v>3</v>
      </c>
      <c r="F113">
        <v>0</v>
      </c>
      <c r="G113">
        <v>4</v>
      </c>
      <c r="K113" s="13" t="str">
        <f>TEXT(INDEX(原始数据!$B$3:$H$26, MATCH(K$2, 原始数据!$A$3:$A$26, 0), MATCH($E113, 原始数据!$B$2:$H$2, 0))*80,"0.00")&amp;"-"&amp;TEXT(INDEX(原始数据!$B$3:$H$26, MATCH(K$2, 原始数据!$A$3:$A$26, 0), MATCH($E113, 原始数据!$B$2:$H$2, 0))*0.95,"0.00%")</f>
        <v>4.80-5.70%</v>
      </c>
      <c r="L113" s="13" t="str">
        <f>TEXT(INDEX(原始数据!$B$3:$H$26, MATCH(L$2, 原始数据!$A$3:$A$26, 0), MATCH($E113, 原始数据!$B$2:$H$2, 0))*80,"0.00")&amp;"-"&amp;TEXT(INDEX(原始数据!$B$3:$H$26, MATCH(L$2, 原始数据!$A$3:$A$26, 0), MATCH($E113, 原始数据!$B$2:$H$2, 0))*0.95,"0.00%")</f>
        <v>4.80-5.70%</v>
      </c>
      <c r="M113" s="13" t="str">
        <f>INDEX(原始数据!$B$3:$H$26, MATCH(M$2, 原始数据!$A$3:$A$26, 0), MATCH($E113, 原始数据!$B$2:$H$2, 0))*0.8&amp;"-"&amp;INDEX(原始数据!$B$3:$H$26, MATCH(M$2, 原始数据!$A$3:$A$26, 0), MATCH($E113, 原始数据!$B$2:$H$2, 0))*0.95</f>
        <v>18-21.375</v>
      </c>
      <c r="N113" s="13" t="str">
        <f>INDEX(原始数据!$B$3:$H$26, MATCH(N$2, 原始数据!$A$3:$A$26, 0), MATCH($E113, 原始数据!$B$2:$H$2, 0))*0.8&amp;"-"&amp;INDEX(原始数据!$B$3:$H$26, MATCH(N$2, 原始数据!$A$3:$A$26, 0), MATCH($E113, 原始数据!$B$2:$H$2, 0))*0.95</f>
        <v>18-21.375</v>
      </c>
      <c r="AV113" s="1" t="s">
        <v>175</v>
      </c>
    </row>
    <row r="114" spans="2:48" x14ac:dyDescent="0.2">
      <c r="B114">
        <f>ID编号[id编号]*1000+ROW()-6</f>
        <v>108108</v>
      </c>
      <c r="C114" s="1" t="s">
        <v>140</v>
      </c>
      <c r="D114">
        <v>2</v>
      </c>
      <c r="E114">
        <v>2</v>
      </c>
      <c r="F114">
        <v>0</v>
      </c>
      <c r="G114">
        <v>4</v>
      </c>
      <c r="K114" s="13" t="str">
        <f>TEXT(INDEX(原始数据!$B$3:$H$26, MATCH(K$2, 原始数据!$A$3:$A$26, 0), MATCH($E114, 原始数据!$B$2:$H$2, 0))*80,"0.00")&amp;"-"&amp;TEXT(INDEX(原始数据!$B$3:$H$26, MATCH(K$2, 原始数据!$A$3:$A$26, 0), MATCH($E114, 原始数据!$B$2:$H$2, 0))*0.95,"0.00%")</f>
        <v>3.20-3.80%</v>
      </c>
      <c r="L114" s="13" t="str">
        <f>TEXT(INDEX(原始数据!$B$3:$H$26, MATCH(L$2, 原始数据!$A$3:$A$26, 0), MATCH($E114, 原始数据!$B$2:$H$2, 0))*80,"0.00")&amp;"-"&amp;TEXT(INDEX(原始数据!$B$3:$H$26, MATCH(L$2, 原始数据!$A$3:$A$26, 0), MATCH($E114, 原始数据!$B$2:$H$2, 0))*0.95,"0.00%")</f>
        <v>3.20-3.80%</v>
      </c>
      <c r="M114" s="13" t="str">
        <f>INDEX(原始数据!$B$3:$H$26, MATCH(M$2, 原始数据!$A$3:$A$26, 0), MATCH($E114, 原始数据!$B$2:$H$2, 0))*0.8&amp;"-"&amp;INDEX(原始数据!$B$3:$H$26, MATCH(M$2, 原始数据!$A$3:$A$26, 0), MATCH($E114, 原始数据!$B$2:$H$2, 0))*0.95</f>
        <v>12-14.25</v>
      </c>
      <c r="N114" s="13" t="str">
        <f>INDEX(原始数据!$B$3:$H$26, MATCH(N$2, 原始数据!$A$3:$A$26, 0), MATCH($E114, 原始数据!$B$2:$H$2, 0))*0.8&amp;"-"&amp;INDEX(原始数据!$B$3:$H$26, MATCH(N$2, 原始数据!$A$3:$A$26, 0), MATCH($E114, 原始数据!$B$2:$H$2, 0))*0.95</f>
        <v>12-14.25</v>
      </c>
      <c r="AV114" s="1" t="s">
        <v>176</v>
      </c>
    </row>
    <row r="115" spans="2:48" x14ac:dyDescent="0.2">
      <c r="B115">
        <f>ID编号[id编号]*1000+ROW()-6</f>
        <v>108109</v>
      </c>
      <c r="C115" s="1" t="s">
        <v>141</v>
      </c>
      <c r="D115">
        <v>2</v>
      </c>
      <c r="E115">
        <v>6</v>
      </c>
      <c r="F115">
        <v>0</v>
      </c>
      <c r="G115">
        <v>4</v>
      </c>
      <c r="AV115" s="1" t="s">
        <v>177</v>
      </c>
    </row>
    <row r="116" spans="2:48" x14ac:dyDescent="0.2">
      <c r="B116">
        <f>ID编号[id编号]*1000+ROW()-6</f>
        <v>108110</v>
      </c>
      <c r="C116" s="1" t="s">
        <v>142</v>
      </c>
      <c r="D116">
        <v>2</v>
      </c>
      <c r="E116">
        <v>2</v>
      </c>
      <c r="F116">
        <v>1</v>
      </c>
      <c r="G116">
        <v>4</v>
      </c>
      <c r="Q116" s="13" t="str">
        <f>TEXT(INDEX(原始数据!$B$3:$H$26, MATCH(Q$2, 原始数据!$A$3:$A$26, 0), MATCH($E116, 原始数据!$B$2:$H$2, 0))*85,"0.00")&amp;"-"&amp;TEXT(INDEX(原始数据!$B$3:$H$26, MATCH(Q$2, 原始数据!$A$3:$A$26, 0), MATCH($E116, 原始数据!$B$2:$H$2, 0))*1,"0.00%")</f>
        <v>3.40-4.00%</v>
      </c>
      <c r="R116" s="13" t="str">
        <f>TEXT(INDEX(原始数据!$B$3:$H$26, MATCH(R$2, 原始数据!$A$3:$A$26, 0), MATCH($E116, 原始数据!$B$2:$H$2, 0))*85,"0.00")&amp;"-"&amp;TEXT(INDEX(原始数据!$B$3:$H$26, MATCH(R$2, 原始数据!$A$3:$A$26, 0), MATCH($E116, 原始数据!$B$2:$H$2, 0))*1,"0.00%")</f>
        <v>3.40-4.00%</v>
      </c>
      <c r="S116" s="13" t="str">
        <f>INDEX(原始数据!$B$3:$H$26, MATCH(S$2, 原始数据!$A$3:$A$26, 0), MATCH($E116, 原始数据!$B$2:$H$2, 0))*0.85&amp;"-"&amp;INDEX(原始数据!$B$3:$H$26, MATCH(S$2, 原始数据!$A$3:$A$26, 0), MATCH($E116, 原始数据!$B$2:$H$2, 0))*1</f>
        <v>8.5-10</v>
      </c>
      <c r="T116" s="13" t="str">
        <f>INDEX(原始数据!$B$3:$H$26, MATCH(T$2, 原始数据!$A$3:$A$26, 0), MATCH($E116, 原始数据!$B$2:$H$2, 0))*0.85&amp;"-"&amp;INDEX(原始数据!$B$3:$H$26, MATCH(T$2, 原始数据!$A$3:$A$26, 0), MATCH($E116, 原始数据!$B$2:$H$2, 0))*1</f>
        <v>8.5-10</v>
      </c>
      <c r="AV116" s="1" t="s">
        <v>178</v>
      </c>
    </row>
    <row r="117" spans="2:48" x14ac:dyDescent="0.2">
      <c r="B117">
        <f>ID编号[id编号]*1000+ROW()-6</f>
        <v>108111</v>
      </c>
      <c r="C117" s="1" t="s">
        <v>143</v>
      </c>
      <c r="D117">
        <v>2</v>
      </c>
      <c r="E117">
        <v>3</v>
      </c>
      <c r="F117">
        <v>1</v>
      </c>
      <c r="G117">
        <v>4</v>
      </c>
      <c r="Q117" s="13" t="str">
        <f>TEXT(INDEX(原始数据!$B$3:$H$26, MATCH(Q$2, 原始数据!$A$3:$A$26, 0), MATCH($E117, 原始数据!$B$2:$H$2, 0))*85,"0.00")&amp;"-"&amp;TEXT(INDEX(原始数据!$B$3:$H$26, MATCH(Q$2, 原始数据!$A$3:$A$26, 0), MATCH($E117, 原始数据!$B$2:$H$2, 0))*1,"0.00%")</f>
        <v>5.10-6.00%</v>
      </c>
      <c r="R117" s="13" t="str">
        <f>TEXT(INDEX(原始数据!$B$3:$H$26, MATCH(R$2, 原始数据!$A$3:$A$26, 0), MATCH($E117, 原始数据!$B$2:$H$2, 0))*85,"0.00")&amp;"-"&amp;TEXT(INDEX(原始数据!$B$3:$H$26, MATCH(R$2, 原始数据!$A$3:$A$26, 0), MATCH($E117, 原始数据!$B$2:$H$2, 0))*1,"0.00%")</f>
        <v>5.10-6.00%</v>
      </c>
      <c r="S117" s="13" t="str">
        <f>INDEX(原始数据!$B$3:$H$26, MATCH(S$2, 原始数据!$A$3:$A$26, 0), MATCH($E117, 原始数据!$B$2:$H$2, 0))*0.85&amp;"-"&amp;INDEX(原始数据!$B$3:$H$26, MATCH(S$2, 原始数据!$A$3:$A$26, 0), MATCH($E117, 原始数据!$B$2:$H$2, 0))*1</f>
        <v>12.75-15</v>
      </c>
      <c r="T117" s="13" t="str">
        <f>INDEX(原始数据!$B$3:$H$26, MATCH(T$2, 原始数据!$A$3:$A$26, 0), MATCH($E117, 原始数据!$B$2:$H$2, 0))*0.85&amp;"-"&amp;INDEX(原始数据!$B$3:$H$26, MATCH(T$2, 原始数据!$A$3:$A$26, 0), MATCH($E117, 原始数据!$B$2:$H$2, 0))*1</f>
        <v>12.75-15</v>
      </c>
      <c r="AV117" s="1" t="s">
        <v>179</v>
      </c>
    </row>
    <row r="118" spans="2:48" x14ac:dyDescent="0.2">
      <c r="B118">
        <f>ID编号[id编号]*1000+ROW()-6</f>
        <v>108112</v>
      </c>
      <c r="C118" s="1" t="s">
        <v>144</v>
      </c>
      <c r="D118">
        <v>2</v>
      </c>
      <c r="E118">
        <v>4</v>
      </c>
      <c r="F118">
        <v>1</v>
      </c>
      <c r="G118">
        <v>4</v>
      </c>
      <c r="Q118" s="13" t="str">
        <f>TEXT(INDEX(原始数据!$B$3:$H$26, MATCH(Q$2, 原始数据!$A$3:$A$26, 0), MATCH($E118, 原始数据!$B$2:$H$2, 0))*85,"0.00")&amp;"-"&amp;TEXT(INDEX(原始数据!$B$3:$H$26, MATCH(Q$2, 原始数据!$A$3:$A$26, 0), MATCH($E118, 原始数据!$B$2:$H$2, 0))*1,"0.00%")</f>
        <v>6.80-8.00%</v>
      </c>
      <c r="R118" s="13" t="str">
        <f>TEXT(INDEX(原始数据!$B$3:$H$26, MATCH(R$2, 原始数据!$A$3:$A$26, 0), MATCH($E118, 原始数据!$B$2:$H$2, 0))*85,"0.00")&amp;"-"&amp;TEXT(INDEX(原始数据!$B$3:$H$26, MATCH(R$2, 原始数据!$A$3:$A$26, 0), MATCH($E118, 原始数据!$B$2:$H$2, 0))*1,"0.00%")</f>
        <v>6.80-8.00%</v>
      </c>
      <c r="S118" s="13" t="str">
        <f>INDEX(原始数据!$B$3:$H$26, MATCH(S$2, 原始数据!$A$3:$A$26, 0), MATCH($E118, 原始数据!$B$2:$H$2, 0))*0.85&amp;"-"&amp;INDEX(原始数据!$B$3:$H$26, MATCH(S$2, 原始数据!$A$3:$A$26, 0), MATCH($E118, 原始数据!$B$2:$H$2, 0))*1</f>
        <v>17-20</v>
      </c>
      <c r="T118" s="13" t="str">
        <f>INDEX(原始数据!$B$3:$H$26, MATCH(T$2, 原始数据!$A$3:$A$26, 0), MATCH($E118, 原始数据!$B$2:$H$2, 0))*0.85&amp;"-"&amp;INDEX(原始数据!$B$3:$H$26, MATCH(T$2, 原始数据!$A$3:$A$26, 0), MATCH($E118, 原始数据!$B$2:$H$2, 0))*1</f>
        <v>17-20</v>
      </c>
      <c r="AV118" s="1" t="s">
        <v>180</v>
      </c>
    </row>
    <row r="119" spans="2:48" x14ac:dyDescent="0.2">
      <c r="B119">
        <f>ID编号[id编号]*1000+ROW()-6</f>
        <v>108113</v>
      </c>
      <c r="C119" s="1" t="s">
        <v>145</v>
      </c>
      <c r="D119">
        <v>2</v>
      </c>
      <c r="E119">
        <v>5</v>
      </c>
      <c r="F119">
        <v>1</v>
      </c>
      <c r="G119">
        <v>4</v>
      </c>
      <c r="Q119" s="13" t="str">
        <f>TEXT(INDEX(原始数据!$B$3:$H$26, MATCH(Q$2, 原始数据!$A$3:$A$26, 0), MATCH($E119, 原始数据!$B$2:$H$2, 0))*85,"0.00")&amp;"-"&amp;TEXT(INDEX(原始数据!$B$3:$H$26, MATCH(Q$2, 原始数据!$A$3:$A$26, 0), MATCH($E119, 原始数据!$B$2:$H$2, 0))*1,"0.00%")</f>
        <v>8.50-10.00%</v>
      </c>
      <c r="R119" s="13" t="str">
        <f>TEXT(INDEX(原始数据!$B$3:$H$26, MATCH(R$2, 原始数据!$A$3:$A$26, 0), MATCH($E119, 原始数据!$B$2:$H$2, 0))*85,"0.00")&amp;"-"&amp;TEXT(INDEX(原始数据!$B$3:$H$26, MATCH(R$2, 原始数据!$A$3:$A$26, 0), MATCH($E119, 原始数据!$B$2:$H$2, 0))*1,"0.00%")</f>
        <v>8.50-10.00%</v>
      </c>
      <c r="S119" s="13" t="str">
        <f>INDEX(原始数据!$B$3:$H$26, MATCH(S$2, 原始数据!$A$3:$A$26, 0), MATCH($E119, 原始数据!$B$2:$H$2, 0))*0.85&amp;"-"&amp;INDEX(原始数据!$B$3:$H$26, MATCH(S$2, 原始数据!$A$3:$A$26, 0), MATCH($E119, 原始数据!$B$2:$H$2, 0))*1</f>
        <v>21.25-25</v>
      </c>
      <c r="T119" s="13" t="str">
        <f>INDEX(原始数据!$B$3:$H$26, MATCH(T$2, 原始数据!$A$3:$A$26, 0), MATCH($E119, 原始数据!$B$2:$H$2, 0))*0.85&amp;"-"&amp;INDEX(原始数据!$B$3:$H$26, MATCH(T$2, 原始数据!$A$3:$A$26, 0), MATCH($E119, 原始数据!$B$2:$H$2, 0))*1</f>
        <v>21.25-25</v>
      </c>
      <c r="AV119" s="1" t="s">
        <v>181</v>
      </c>
    </row>
    <row r="120" spans="2:48" x14ac:dyDescent="0.2">
      <c r="B120">
        <f>ID编号[id编号]*1000+ROW()-6</f>
        <v>108114</v>
      </c>
      <c r="C120" s="1" t="s">
        <v>146</v>
      </c>
      <c r="D120">
        <v>2</v>
      </c>
      <c r="E120">
        <v>6</v>
      </c>
      <c r="F120">
        <v>1</v>
      </c>
      <c r="G120">
        <v>4</v>
      </c>
      <c r="Q120" s="13" t="str">
        <f>TEXT(INDEX(原始数据!$B$3:$H$26, MATCH(Q$2, 原始数据!$A$3:$A$26, 0), MATCH($E120, 原始数据!$B$2:$H$2, 0))*85,"0.00")&amp;"-"&amp;TEXT(INDEX(原始数据!$B$3:$H$26, MATCH(Q$2, 原始数据!$A$3:$A$26, 0), MATCH($E120, 原始数据!$B$2:$H$2, 0))*1,"0.00%")</f>
        <v>10.20-12.00%</v>
      </c>
      <c r="R120" s="13" t="str">
        <f>TEXT(INDEX(原始数据!$B$3:$H$26, MATCH(R$2, 原始数据!$A$3:$A$26, 0), MATCH($E120, 原始数据!$B$2:$H$2, 0))*85,"0.00")&amp;"-"&amp;TEXT(INDEX(原始数据!$B$3:$H$26, MATCH(R$2, 原始数据!$A$3:$A$26, 0), MATCH($E120, 原始数据!$B$2:$H$2, 0))*1,"0.00%")</f>
        <v>10.20-12.00%</v>
      </c>
      <c r="S120" s="13" t="str">
        <f>INDEX(原始数据!$B$3:$H$26, MATCH(S$2, 原始数据!$A$3:$A$26, 0), MATCH($E120, 原始数据!$B$2:$H$2, 0))*0.85&amp;"-"&amp;INDEX(原始数据!$B$3:$H$26, MATCH(S$2, 原始数据!$A$3:$A$26, 0), MATCH($E120, 原始数据!$B$2:$H$2, 0))*1</f>
        <v>25.5-30</v>
      </c>
      <c r="T120" s="13" t="str">
        <f>INDEX(原始数据!$B$3:$H$26, MATCH(T$2, 原始数据!$A$3:$A$26, 0), MATCH($E120, 原始数据!$B$2:$H$2, 0))*0.85&amp;"-"&amp;INDEX(原始数据!$B$3:$H$26, MATCH(T$2, 原始数据!$A$3:$A$26, 0), MATCH($E120, 原始数据!$B$2:$H$2, 0))*1</f>
        <v>25.5-30</v>
      </c>
      <c r="AV120" s="1" t="s">
        <v>182</v>
      </c>
    </row>
    <row r="121" spans="2:48" x14ac:dyDescent="0.2">
      <c r="B121">
        <f>ID编号[id编号]*1000+ROW()-6</f>
        <v>108115</v>
      </c>
      <c r="C121" s="1" t="s">
        <v>147</v>
      </c>
      <c r="D121">
        <v>0</v>
      </c>
      <c r="E121">
        <v>4</v>
      </c>
      <c r="G121">
        <v>4</v>
      </c>
      <c r="I121" s="13"/>
      <c r="J121" s="13"/>
      <c r="M121" s="13"/>
      <c r="N121" s="13"/>
      <c r="O121" s="13"/>
      <c r="P121" s="13"/>
      <c r="S121" s="13"/>
      <c r="T121" s="13"/>
      <c r="AA121" s="13"/>
      <c r="AC121" s="13"/>
      <c r="AL121" s="13" t="str">
        <f>INDEX(原始数据!$K$2:$Q$7, MATCH("基础攻击力A", 原始数据!$J$2:$J$7, 0), MATCH($E121, 原始数据!$K$1:$Q$1, 0))&amp;"-"&amp;INDEX(原始数据!$K$2:$Q$7, MATCH("基础攻击力B", 原始数据!$J$2:$J$7, 0), MATCH($E121, 原始数据!$K$1:$Q$1, 0))</f>
        <v>135.8-189.88</v>
      </c>
      <c r="AM121" s="13" t="str">
        <f>INDEX(原始数据!$K$2:$Q$7, MATCH("基础攻击力A", 原始数据!$J$2:$J$7, 0), MATCH($E121, 原始数据!$K$1:$Q$1, 0))&amp;"-"&amp;INDEX(原始数据!$K$2:$Q$7, MATCH("基础攻击力B", 原始数据!$J$2:$J$7, 0), MATCH($E121, 原始数据!$K$1:$Q$1, 0))</f>
        <v>135.8-189.88</v>
      </c>
      <c r="AN121" s="13" t="str">
        <f>INDEX(原始数据!$K$2:$Q$7, MATCH("基础攻击力A", 原始数据!$J$2:$J$7, 0), MATCH($E121, 原始数据!$K$1:$Q$1, 0))&amp;"-"&amp;INDEX(原始数据!$K$2:$Q$7, MATCH("基础攻击力B", 原始数据!$J$2:$J$7, 0), MATCH($E121, 原始数据!$K$1:$Q$1, 0))</f>
        <v>135.8-189.88</v>
      </c>
      <c r="AO121" s="13" t="str">
        <f>INDEX(原始数据!$K$2:$Q$7, MATCH("基础攻击力A", 原始数据!$J$2:$J$7, 0), MATCH($E121, 原始数据!$K$1:$Q$1, 0))&amp;"-"&amp;INDEX(原始数据!$K$2:$Q$7, MATCH("基础攻击力B", 原始数据!$J$2:$J$7, 0), MATCH($E121, 原始数据!$K$1:$Q$1, 0))</f>
        <v>135.8-189.88</v>
      </c>
      <c r="AP121" s="13" t="str">
        <f>INDEX(原始数据!$K$2:$Q$7, MATCH("基础防御力A", 原始数据!$J$2:$J$7, 0), MATCH($E121, 原始数据!$K$1:$Q$1, 0))&amp;"-"&amp;INDEX(原始数据!$K$2:$Q$7, MATCH("基础防御力B", 原始数据!$J$2:$J$7, 0), MATCH($E121, 原始数据!$K$1:$Q$1, 0))</f>
        <v>174-234</v>
      </c>
      <c r="AQ121" s="13" t="str">
        <f>INDEX(原始数据!$K$2:$Q$7, MATCH("基础防御力A", 原始数据!$J$2:$J$7, 0), MATCH($E121, 原始数据!$K$1:$Q$1, 0))&amp;"-"&amp;INDEX(原始数据!$K$2:$Q$7, MATCH("基础防御力B", 原始数据!$J$2:$J$7, 0), MATCH($E121, 原始数据!$K$1:$Q$1, 0))</f>
        <v>174-234</v>
      </c>
      <c r="AR121" s="13" t="str">
        <f>INDEX(原始数据!$K$2:$Q$7, MATCH("基础防御力A", 原始数据!$J$2:$J$7, 0), MATCH($E121, 原始数据!$K$1:$Q$1, 0))&amp;"-"&amp;INDEX(原始数据!$K$2:$Q$7, MATCH("基础防御力B", 原始数据!$J$2:$J$7, 0), MATCH($E121, 原始数据!$K$1:$Q$1, 0))</f>
        <v>174-234</v>
      </c>
      <c r="AS121" s="13" t="str">
        <f>INDEX(原始数据!$K$2:$Q$7, MATCH("基础防御力A", 原始数据!$J$2:$J$7, 0), MATCH($E121, 原始数据!$K$1:$Q$1, 0))&amp;"-"&amp;INDEX(原始数据!$K$2:$Q$7, MATCH("基础防御力B", 原始数据!$J$2:$J$7, 0), MATCH($E121, 原始数据!$K$1:$Q$1, 0))</f>
        <v>174-234</v>
      </c>
      <c r="AT121" s="13" t="str">
        <f>INDEX(原始数据!$K$2:$Q$7, MATCH("基础生命值A", 原始数据!$J$2:$J$7, 0), MATCH($E121, 原始数据!$K$1:$Q$1, 0))&amp;"-"&amp;INDEX(原始数据!$K$2:$Q$7, MATCH("基础生命值B", 原始数据!$J$2:$J$7, 0), MATCH($E121, 原始数据!$K$1:$Q$1, 0))</f>
        <v>2187.43-2897.64</v>
      </c>
      <c r="AU121" s="13" t="str">
        <f>INDEX(原始数据!$K$2:$Q$7, MATCH("基础生命值A", 原始数据!$J$2:$J$7, 0), MATCH($E121, 原始数据!$K$1:$Q$1, 0))&amp;"-"&amp;INDEX(原始数据!$K$2:$Q$7, MATCH("基础生命值B", 原始数据!$J$2:$J$7, 0), MATCH($E121, 原始数据!$K$1:$Q$1, 0))</f>
        <v>2187.43-2897.64</v>
      </c>
      <c r="AV121" s="1" t="s">
        <v>183</v>
      </c>
    </row>
    <row r="122" spans="2:48" x14ac:dyDescent="0.2">
      <c r="B122">
        <f>ID编号[id编号]*1000+ROW()-6</f>
        <v>108116</v>
      </c>
      <c r="C122" s="1" t="s">
        <v>148</v>
      </c>
      <c r="D122">
        <v>0</v>
      </c>
      <c r="E122">
        <v>5</v>
      </c>
      <c r="G122">
        <v>4</v>
      </c>
      <c r="I122" s="13"/>
      <c r="J122" s="13"/>
      <c r="M122" s="13"/>
      <c r="N122" s="13"/>
      <c r="O122" s="13"/>
      <c r="P122" s="13"/>
      <c r="S122" s="13"/>
      <c r="T122" s="13"/>
      <c r="AL122" s="13" t="str">
        <f>INDEX(原始数据!$K$2:$Q$7, MATCH("基础攻击力A", 原始数据!$J$2:$J$7, 0), MATCH($E122, 原始数据!$K$1:$Q$1, 0))&amp;"-"&amp;INDEX(原始数据!$K$2:$Q$7, MATCH("基础攻击力B", 原始数据!$J$2:$J$7, 0), MATCH($E122, 原始数据!$K$1:$Q$1, 0))</f>
        <v>178.74-235.94</v>
      </c>
      <c r="AM122" s="13" t="str">
        <f>INDEX(原始数据!$K$2:$Q$7, MATCH("基础攻击力A", 原始数据!$J$2:$J$7, 0), MATCH($E122, 原始数据!$K$1:$Q$1, 0))&amp;"-"&amp;INDEX(原始数据!$K$2:$Q$7, MATCH("基础攻击力B", 原始数据!$J$2:$J$7, 0), MATCH($E122, 原始数据!$K$1:$Q$1, 0))</f>
        <v>178.74-235.94</v>
      </c>
      <c r="AN122" s="13" t="str">
        <f>INDEX(原始数据!$K$2:$Q$7, MATCH("基础攻击力A", 原始数据!$J$2:$J$7, 0), MATCH($E122, 原始数据!$K$1:$Q$1, 0))&amp;"-"&amp;INDEX(原始数据!$K$2:$Q$7, MATCH("基础攻击力B", 原始数据!$J$2:$J$7, 0), MATCH($E122, 原始数据!$K$1:$Q$1, 0))</f>
        <v>178.74-235.94</v>
      </c>
      <c r="AO122" s="13" t="str">
        <f>INDEX(原始数据!$K$2:$Q$7, MATCH("基础攻击力A", 原始数据!$J$2:$J$7, 0), MATCH($E122, 原始数据!$K$1:$Q$1, 0))&amp;"-"&amp;INDEX(原始数据!$K$2:$Q$7, MATCH("基础攻击力B", 原始数据!$J$2:$J$7, 0), MATCH($E122, 原始数据!$K$1:$Q$1, 0))</f>
        <v>178.74-235.94</v>
      </c>
      <c r="AP122" s="13" t="str">
        <f>INDEX(原始数据!$K$2:$Q$7, MATCH("基础防御力A", 原始数据!$J$2:$J$7, 0), MATCH($E122, 原始数据!$K$1:$Q$1, 0))&amp;"-"&amp;INDEX(原始数据!$K$2:$Q$7, MATCH("基础防御力B", 原始数据!$J$2:$J$7, 0), MATCH($E122, 原始数据!$K$1:$Q$1, 0))</f>
        <v>222-282</v>
      </c>
      <c r="AQ122" s="13" t="str">
        <f>INDEX(原始数据!$K$2:$Q$7, MATCH("基础防御力A", 原始数据!$J$2:$J$7, 0), MATCH($E122, 原始数据!$K$1:$Q$1, 0))&amp;"-"&amp;INDEX(原始数据!$K$2:$Q$7, MATCH("基础防御力B", 原始数据!$J$2:$J$7, 0), MATCH($E122, 原始数据!$K$1:$Q$1, 0))</f>
        <v>222-282</v>
      </c>
      <c r="AR122" s="13" t="str">
        <f>INDEX(原始数据!$K$2:$Q$7, MATCH("基础防御力A", 原始数据!$J$2:$J$7, 0), MATCH($E122, 原始数据!$K$1:$Q$1, 0))&amp;"-"&amp;INDEX(原始数据!$K$2:$Q$7, MATCH("基础防御力B", 原始数据!$J$2:$J$7, 0), MATCH($E122, 原始数据!$K$1:$Q$1, 0))</f>
        <v>222-282</v>
      </c>
      <c r="AS122" s="13" t="str">
        <f>INDEX(原始数据!$K$2:$Q$7, MATCH("基础防御力A", 原始数据!$J$2:$J$7, 0), MATCH($E122, 原始数据!$K$1:$Q$1, 0))&amp;"-"&amp;INDEX(原始数据!$K$2:$Q$7, MATCH("基础防御力B", 原始数据!$J$2:$J$7, 0), MATCH($E122, 原始数据!$K$1:$Q$1, 0))</f>
        <v>222-282</v>
      </c>
      <c r="AT122" s="13" t="str">
        <f>INDEX(原始数据!$K$2:$Q$7, MATCH("基础生命值A", 原始数据!$J$2:$J$7, 0), MATCH($E122, 原始数据!$K$1:$Q$1, 0))&amp;"-"&amp;INDEX(原始数据!$K$2:$Q$7, MATCH("基础生命值B", 原始数据!$J$2:$J$7, 0), MATCH($E122, 原始数据!$K$1:$Q$1, 0))</f>
        <v>2742.29-3572.48</v>
      </c>
      <c r="AU122" s="13" t="str">
        <f>INDEX(原始数据!$K$2:$Q$7, MATCH("基础生命值A", 原始数据!$J$2:$J$7, 0), MATCH($E122, 原始数据!$K$1:$Q$1, 0))&amp;"-"&amp;INDEX(原始数据!$K$2:$Q$7, MATCH("基础生命值B", 原始数据!$J$2:$J$7, 0), MATCH($E122, 原始数据!$K$1:$Q$1, 0))</f>
        <v>2742.29-3572.48</v>
      </c>
      <c r="AV122" s="1" t="s">
        <v>184</v>
      </c>
    </row>
    <row r="123" spans="2:48" x14ac:dyDescent="0.2">
      <c r="B123">
        <f>ID编号[id编号]*1000+ROW()-6</f>
        <v>108117</v>
      </c>
      <c r="C123" s="7" t="s">
        <v>120</v>
      </c>
      <c r="D123">
        <v>1</v>
      </c>
      <c r="F123">
        <v>7</v>
      </c>
      <c r="G123">
        <v>5</v>
      </c>
      <c r="W123" s="13" t="e">
        <f>TEXT(INDEX(原始数据!$B$3:$H$26, MATCH(W$2, 原始数据!$A$3:$A$26, 0), MATCH($E123, 原始数据!$B$2:$H$2, 0))*85,"0.00")&amp;"-"&amp;TEXT(INDEX(原始数据!$B$3:$H$26, MATCH(W$2, 原始数据!$A$3:$A$26, 0), MATCH($E123, 原始数据!$B$2:$H$2, 0))*1,"0.00%")</f>
        <v>#N/A</v>
      </c>
      <c r="X123" s="13" t="e">
        <f>TEXT(INDEX(原始数据!$B$3:$H$26, MATCH(X$2, 原始数据!$A$3:$A$26, 0), MATCH($E123, 原始数据!$B$2:$H$2, 0))*85,"0.00")&amp;"-"&amp;TEXT(INDEX(原始数据!$B$3:$H$26, MATCH(X$2, 原始数据!$A$3:$A$26, 0), MATCH($E123, 原始数据!$B$2:$H$2, 0))*1,"0.00%")</f>
        <v>#N/A</v>
      </c>
      <c r="Y123" s="13" t="e">
        <f>TEXT(INDEX(原始数据!$B$3:$H$26, MATCH(Y$2, 原始数据!$A$3:$A$26, 0), MATCH($E123, 原始数据!$B$2:$H$2, 0))*85,"0.00")&amp;"-"&amp;TEXT(INDEX(原始数据!$B$3:$H$26, MATCH(Y$2, 原始数据!$A$3:$A$26, 0), MATCH($E123, 原始数据!$B$2:$H$2, 0))*1,"0.00%")</f>
        <v>#N/A</v>
      </c>
      <c r="Z123" s="13" t="e">
        <f>TEXT(INDEX(原始数据!$B$3:$H$26, MATCH(Z$2, 原始数据!$A$3:$A$26, 0), MATCH($E123, 原始数据!$B$2:$H$2, 0))*85,"0.00")&amp;"-"&amp;TEXT(INDEX(原始数据!$B$3:$H$26, MATCH(Z$2, 原始数据!$A$3:$A$26, 0), MATCH($E123, 原始数据!$B$2:$H$2, 0))*1,"0.00%")</f>
        <v>#N/A</v>
      </c>
      <c r="AA123" s="13"/>
      <c r="AC123" s="13"/>
      <c r="AD123" s="13" t="e">
        <f>INDEX(原始数据!$B$3:$H$26, MATCH(AD$2, 原始数据!$A$3:$A$26, 0), MATCH($E123, 原始数据!$B$2:$H$2, 0))*0.85&amp;"-"&amp;INDEX(原始数据!$B$3:$H$26, MATCH(AD$2, 原始数据!$A$3:$A$26, 0), MATCH($E123, 原始数据!$B$2:$H$2, 0))*1</f>
        <v>#N/A</v>
      </c>
      <c r="AE123" s="13" t="e">
        <f>TEXT(INDEX(原始数据!$B$3:$H$26, MATCH(AE$2, 原始数据!$A$3:$A$26, 0), MATCH($E123, 原始数据!$B$2:$H$2, 0))*85,"0.00")&amp;"-"&amp;TEXT(INDEX(原始数据!$B$3:$H$26, MATCH(AE$2, 原始数据!$A$3:$A$26, 0), MATCH($E123, 原始数据!$B$2:$H$2, 0))*1,"0.00%")</f>
        <v>#N/A</v>
      </c>
      <c r="AF123" s="13" t="e">
        <f>INDEX(原始数据!$B$3:$H$26, MATCH(AF$2, 原始数据!$A$3:$A$26, 0), MATCH($E123, 原始数据!$B$2:$H$2, 0))*0.85&amp;"-"&amp;INDEX(原始数据!$B$3:$H$26, MATCH(AF$2, 原始数据!$A$3:$A$26, 0), MATCH($E123, 原始数据!$B$2:$H$2, 0))*1</f>
        <v>#N/A</v>
      </c>
      <c r="AG123" s="13" t="e">
        <f>TEXT(INDEX(原始数据!$B$3:$H$26, MATCH(AG$2, 原始数据!$A$3:$A$26, 0), MATCH($E123, 原始数据!$B$2:$H$2, 0))*85,"0.00")&amp;"-"&amp;TEXT(INDEX(原始数据!$B$3:$H$26, MATCH(AG$2, 原始数据!$A$3:$A$26, 0), MATCH($E123, 原始数据!$B$2:$H$2, 0))*1,"0.00%")</f>
        <v>#N/A</v>
      </c>
      <c r="AH123" s="13" t="e">
        <f>INDEX(原始数据!$B$3:$H$26, MATCH(AH$2, 原始数据!$A$3:$A$26, 0), MATCH($E123, 原始数据!$B$2:$H$2, 0))*0.85&amp;"-"&amp;INDEX(原始数据!$B$3:$H$26, MATCH(AH$2, 原始数据!$A$3:$A$26, 0), MATCH($E123, 原始数据!$B$2:$H$2, 0))*1</f>
        <v>#N/A</v>
      </c>
      <c r="AI123" s="13" t="e">
        <f>TEXT(INDEX(原始数据!$B$3:$H$26, MATCH(AI$2, 原始数据!$A$3:$A$26, 0), MATCH($E123, 原始数据!$B$2:$H$2, 0))*85,"0.00")&amp;"-"&amp;TEXT(INDEX(原始数据!$B$3:$H$26, MATCH(AI$2, 原始数据!$A$3:$A$26, 0), MATCH($E123, 原始数据!$B$2:$H$2, 0))*1,"0.00%")</f>
        <v>#N/A</v>
      </c>
      <c r="AJ123" s="13" t="e">
        <f>INDEX(原始数据!$B$3:$H$26, MATCH(AJ$2, 原始数据!$A$3:$A$26, 0), MATCH($E123, 原始数据!$B$2:$H$2, 0))*0.85&amp;"-"&amp;INDEX(原始数据!$B$3:$H$26, MATCH(AJ$2, 原始数据!$A$3:$A$26, 0), MATCH($E123, 原始数据!$B$2:$H$2, 0))*1</f>
        <v>#N/A</v>
      </c>
      <c r="AK123" s="13" t="e">
        <f>TEXT(INDEX(原始数据!$B$3:$H$26, MATCH(AK$2, 原始数据!$A$3:$A$26, 0), MATCH($E123, 原始数据!$B$2:$H$2, 0))*85,"0.00")&amp;"-"&amp;TEXT(INDEX(原始数据!$B$3:$H$26, MATCH(AK$2, 原始数据!$A$3:$A$26, 0), MATCH($E123, 原始数据!$B$2:$H$2, 0))*1,"0.00%")</f>
        <v>#N/A</v>
      </c>
      <c r="AV123" s="1" t="s">
        <v>157</v>
      </c>
    </row>
    <row r="124" spans="2:48" x14ac:dyDescent="0.2">
      <c r="B124">
        <f>ID编号[id编号]*1000+ROW()-6</f>
        <v>108118</v>
      </c>
      <c r="C124" s="8" t="s">
        <v>137</v>
      </c>
      <c r="D124">
        <v>1</v>
      </c>
      <c r="F124">
        <v>7</v>
      </c>
      <c r="G124">
        <v>5</v>
      </c>
      <c r="W124" s="13" t="e">
        <f>TEXT(INDEX(原始数据!$B$3:$H$26, MATCH(W$2, 原始数据!$A$3:$A$26, 0), MATCH($E124, 原始数据!$B$2:$H$2, 0))*85,"0.00")&amp;"-"&amp;TEXT(INDEX(原始数据!$B$3:$H$26, MATCH(W$2, 原始数据!$A$3:$A$26, 0), MATCH($E124, 原始数据!$B$2:$H$2, 0))*1,"0.00%")</f>
        <v>#N/A</v>
      </c>
      <c r="X124" s="13" t="e">
        <f>TEXT(INDEX(原始数据!$B$3:$H$26, MATCH(X$2, 原始数据!$A$3:$A$26, 0), MATCH($E124, 原始数据!$B$2:$H$2, 0))*85,"0.00")&amp;"-"&amp;TEXT(INDEX(原始数据!$B$3:$H$26, MATCH(X$2, 原始数据!$A$3:$A$26, 0), MATCH($E124, 原始数据!$B$2:$H$2, 0))*1,"0.00%")</f>
        <v>#N/A</v>
      </c>
      <c r="Y124" s="13" t="e">
        <f>TEXT(INDEX(原始数据!$B$3:$H$26, MATCH(Y$2, 原始数据!$A$3:$A$26, 0), MATCH($E124, 原始数据!$B$2:$H$2, 0))*85,"0.00")&amp;"-"&amp;TEXT(INDEX(原始数据!$B$3:$H$26, MATCH(Y$2, 原始数据!$A$3:$A$26, 0), MATCH($E124, 原始数据!$B$2:$H$2, 0))*1,"0.00%")</f>
        <v>#N/A</v>
      </c>
      <c r="Z124" s="13" t="e">
        <f>TEXT(INDEX(原始数据!$B$3:$H$26, MATCH(Z$2, 原始数据!$A$3:$A$26, 0), MATCH($E124, 原始数据!$B$2:$H$2, 0))*85,"0.00")&amp;"-"&amp;TEXT(INDEX(原始数据!$B$3:$H$26, MATCH(Z$2, 原始数据!$A$3:$A$26, 0), MATCH($E124, 原始数据!$B$2:$H$2, 0))*1,"0.00%")</f>
        <v>#N/A</v>
      </c>
      <c r="AA124" s="13"/>
      <c r="AC124" s="13"/>
      <c r="AD124" s="13" t="e">
        <f>INDEX(原始数据!$B$3:$H$26, MATCH(AD$2, 原始数据!$A$3:$A$26, 0), MATCH($E124, 原始数据!$B$2:$H$2, 0))*0.85&amp;"-"&amp;INDEX(原始数据!$B$3:$H$26, MATCH(AD$2, 原始数据!$A$3:$A$26, 0), MATCH($E124, 原始数据!$B$2:$H$2, 0))*1</f>
        <v>#N/A</v>
      </c>
      <c r="AE124" s="13" t="e">
        <f>TEXT(INDEX(原始数据!$B$3:$H$26, MATCH(AE$2, 原始数据!$A$3:$A$26, 0), MATCH($E124, 原始数据!$B$2:$H$2, 0))*85,"0.00")&amp;"-"&amp;TEXT(INDEX(原始数据!$B$3:$H$26, MATCH(AE$2, 原始数据!$A$3:$A$26, 0), MATCH($E124, 原始数据!$B$2:$H$2, 0))*1,"0.00%")</f>
        <v>#N/A</v>
      </c>
      <c r="AF124" s="13" t="e">
        <f>INDEX(原始数据!$B$3:$H$26, MATCH(AF$2, 原始数据!$A$3:$A$26, 0), MATCH($E124, 原始数据!$B$2:$H$2, 0))*0.85&amp;"-"&amp;INDEX(原始数据!$B$3:$H$26, MATCH(AF$2, 原始数据!$A$3:$A$26, 0), MATCH($E124, 原始数据!$B$2:$H$2, 0))*1</f>
        <v>#N/A</v>
      </c>
      <c r="AG124" s="13" t="e">
        <f>TEXT(INDEX(原始数据!$B$3:$H$26, MATCH(AG$2, 原始数据!$A$3:$A$26, 0), MATCH($E124, 原始数据!$B$2:$H$2, 0))*85,"0.00")&amp;"-"&amp;TEXT(INDEX(原始数据!$B$3:$H$26, MATCH(AG$2, 原始数据!$A$3:$A$26, 0), MATCH($E124, 原始数据!$B$2:$H$2, 0))*1,"0.00%")</f>
        <v>#N/A</v>
      </c>
      <c r="AH124" s="13" t="e">
        <f>INDEX(原始数据!$B$3:$H$26, MATCH(AH$2, 原始数据!$A$3:$A$26, 0), MATCH($E124, 原始数据!$B$2:$H$2, 0))*0.85&amp;"-"&amp;INDEX(原始数据!$B$3:$H$26, MATCH(AH$2, 原始数据!$A$3:$A$26, 0), MATCH($E124, 原始数据!$B$2:$H$2, 0))*1</f>
        <v>#N/A</v>
      </c>
      <c r="AI124" s="13" t="e">
        <f>TEXT(INDEX(原始数据!$B$3:$H$26, MATCH(AI$2, 原始数据!$A$3:$A$26, 0), MATCH($E124, 原始数据!$B$2:$H$2, 0))*85,"0.00")&amp;"-"&amp;TEXT(INDEX(原始数据!$B$3:$H$26, MATCH(AI$2, 原始数据!$A$3:$A$26, 0), MATCH($E124, 原始数据!$B$2:$H$2, 0))*1,"0.00%")</f>
        <v>#N/A</v>
      </c>
      <c r="AJ124" s="13" t="e">
        <f>INDEX(原始数据!$B$3:$H$26, MATCH(AJ$2, 原始数据!$A$3:$A$26, 0), MATCH($E124, 原始数据!$B$2:$H$2, 0))*0.85&amp;"-"&amp;INDEX(原始数据!$B$3:$H$26, MATCH(AJ$2, 原始数据!$A$3:$A$26, 0), MATCH($E124, 原始数据!$B$2:$H$2, 0))*1</f>
        <v>#N/A</v>
      </c>
      <c r="AK124" s="13" t="e">
        <f>TEXT(INDEX(原始数据!$B$3:$H$26, MATCH(AK$2, 原始数据!$A$3:$A$26, 0), MATCH($E124, 原始数据!$B$2:$H$2, 0))*85,"0.00")&amp;"-"&amp;TEXT(INDEX(原始数据!$B$3:$H$26, MATCH(AK$2, 原始数据!$A$3:$A$26, 0), MATCH($E124, 原始数据!$B$2:$H$2, 0))*1,"0.00%")</f>
        <v>#N/A</v>
      </c>
      <c r="AV124" s="1" t="s">
        <v>173</v>
      </c>
    </row>
    <row r="125" spans="2:48" x14ac:dyDescent="0.2">
      <c r="B125">
        <f>ID编号[id编号]*1000+ROW()-6</f>
        <v>108119</v>
      </c>
      <c r="C125" s="8" t="s">
        <v>139</v>
      </c>
      <c r="D125">
        <v>2</v>
      </c>
      <c r="F125">
        <v>0</v>
      </c>
      <c r="G125">
        <v>5</v>
      </c>
      <c r="AV125" s="1" t="s">
        <v>213</v>
      </c>
    </row>
    <row r="126" spans="2:48" x14ac:dyDescent="0.2">
      <c r="B126">
        <f>ID编号[id编号]*1000+ROW()-6</f>
        <v>108120</v>
      </c>
      <c r="C126" s="8" t="s">
        <v>121</v>
      </c>
      <c r="D126">
        <v>1</v>
      </c>
      <c r="F126">
        <v>7</v>
      </c>
      <c r="G126">
        <v>5</v>
      </c>
      <c r="W126" s="13" t="e">
        <f>TEXT(INDEX(原始数据!$B$3:$H$26, MATCH(W$2, 原始数据!$A$3:$A$26, 0), MATCH($E126, 原始数据!$B$2:$H$2, 0))*85,"0.00")&amp;"-"&amp;TEXT(INDEX(原始数据!$B$3:$H$26, MATCH(W$2, 原始数据!$A$3:$A$26, 0), MATCH($E126, 原始数据!$B$2:$H$2, 0))*1,"0.00%")</f>
        <v>#N/A</v>
      </c>
      <c r="X126" s="13" t="e">
        <f>TEXT(INDEX(原始数据!$B$3:$H$26, MATCH(X$2, 原始数据!$A$3:$A$26, 0), MATCH($E126, 原始数据!$B$2:$H$2, 0))*85,"0.00")&amp;"-"&amp;TEXT(INDEX(原始数据!$B$3:$H$26, MATCH(X$2, 原始数据!$A$3:$A$26, 0), MATCH($E126, 原始数据!$B$2:$H$2, 0))*1,"0.00%")</f>
        <v>#N/A</v>
      </c>
      <c r="Y126" s="13" t="e">
        <f>TEXT(INDEX(原始数据!$B$3:$H$26, MATCH(Y$2, 原始数据!$A$3:$A$26, 0), MATCH($E126, 原始数据!$B$2:$H$2, 0))*85,"0.00")&amp;"-"&amp;TEXT(INDEX(原始数据!$B$3:$H$26, MATCH(Y$2, 原始数据!$A$3:$A$26, 0), MATCH($E126, 原始数据!$B$2:$H$2, 0))*1,"0.00%")</f>
        <v>#N/A</v>
      </c>
      <c r="Z126" s="13" t="e">
        <f>TEXT(INDEX(原始数据!$B$3:$H$26, MATCH(Z$2, 原始数据!$A$3:$A$26, 0), MATCH($E126, 原始数据!$B$2:$H$2, 0))*85,"0.00")&amp;"-"&amp;TEXT(INDEX(原始数据!$B$3:$H$26, MATCH(Z$2, 原始数据!$A$3:$A$26, 0), MATCH($E126, 原始数据!$B$2:$H$2, 0))*1,"0.00%")</f>
        <v>#N/A</v>
      </c>
      <c r="AA126" s="13"/>
      <c r="AC126" s="13"/>
      <c r="AD126" s="13" t="e">
        <f>INDEX(原始数据!$B$3:$H$26, MATCH(AD$2, 原始数据!$A$3:$A$26, 0), MATCH($E126, 原始数据!$B$2:$H$2, 0))*0.85&amp;"-"&amp;INDEX(原始数据!$B$3:$H$26, MATCH(AD$2, 原始数据!$A$3:$A$26, 0), MATCH($E126, 原始数据!$B$2:$H$2, 0))*1</f>
        <v>#N/A</v>
      </c>
      <c r="AE126" s="13" t="e">
        <f>TEXT(INDEX(原始数据!$B$3:$H$26, MATCH(AE$2, 原始数据!$A$3:$A$26, 0), MATCH($E126, 原始数据!$B$2:$H$2, 0))*85,"0.00")&amp;"-"&amp;TEXT(INDEX(原始数据!$B$3:$H$26, MATCH(AE$2, 原始数据!$A$3:$A$26, 0), MATCH($E126, 原始数据!$B$2:$H$2, 0))*1,"0.00%")</f>
        <v>#N/A</v>
      </c>
      <c r="AF126" s="13" t="e">
        <f>INDEX(原始数据!$B$3:$H$26, MATCH(AF$2, 原始数据!$A$3:$A$26, 0), MATCH($E126, 原始数据!$B$2:$H$2, 0))*0.85&amp;"-"&amp;INDEX(原始数据!$B$3:$H$26, MATCH(AF$2, 原始数据!$A$3:$A$26, 0), MATCH($E126, 原始数据!$B$2:$H$2, 0))*1</f>
        <v>#N/A</v>
      </c>
      <c r="AG126" s="13" t="e">
        <f>TEXT(INDEX(原始数据!$B$3:$H$26, MATCH(AG$2, 原始数据!$A$3:$A$26, 0), MATCH($E126, 原始数据!$B$2:$H$2, 0))*85,"0.00")&amp;"-"&amp;TEXT(INDEX(原始数据!$B$3:$H$26, MATCH(AG$2, 原始数据!$A$3:$A$26, 0), MATCH($E126, 原始数据!$B$2:$H$2, 0))*1,"0.00%")</f>
        <v>#N/A</v>
      </c>
      <c r="AH126" s="13" t="e">
        <f>INDEX(原始数据!$B$3:$H$26, MATCH(AH$2, 原始数据!$A$3:$A$26, 0), MATCH($E126, 原始数据!$B$2:$H$2, 0))*0.85&amp;"-"&amp;INDEX(原始数据!$B$3:$H$26, MATCH(AH$2, 原始数据!$A$3:$A$26, 0), MATCH($E126, 原始数据!$B$2:$H$2, 0))*1</f>
        <v>#N/A</v>
      </c>
      <c r="AI126" s="13" t="e">
        <f>TEXT(INDEX(原始数据!$B$3:$H$26, MATCH(AI$2, 原始数据!$A$3:$A$26, 0), MATCH($E126, 原始数据!$B$2:$H$2, 0))*85,"0.00")&amp;"-"&amp;TEXT(INDEX(原始数据!$B$3:$H$26, MATCH(AI$2, 原始数据!$A$3:$A$26, 0), MATCH($E126, 原始数据!$B$2:$H$2, 0))*1,"0.00%")</f>
        <v>#N/A</v>
      </c>
      <c r="AJ126" s="13" t="e">
        <f>INDEX(原始数据!$B$3:$H$26, MATCH(AJ$2, 原始数据!$A$3:$A$26, 0), MATCH($E126, 原始数据!$B$2:$H$2, 0))*0.85&amp;"-"&amp;INDEX(原始数据!$B$3:$H$26, MATCH(AJ$2, 原始数据!$A$3:$A$26, 0), MATCH($E126, 原始数据!$B$2:$H$2, 0))*1</f>
        <v>#N/A</v>
      </c>
      <c r="AK126" s="13" t="e">
        <f>TEXT(INDEX(原始数据!$B$3:$H$26, MATCH(AK$2, 原始数据!$A$3:$A$26, 0), MATCH($E126, 原始数据!$B$2:$H$2, 0))*85,"0.00")&amp;"-"&amp;TEXT(INDEX(原始数据!$B$3:$H$26, MATCH(AK$2, 原始数据!$A$3:$A$26, 0), MATCH($E126, 原始数据!$B$2:$H$2, 0))*1,"0.00%")</f>
        <v>#N/A</v>
      </c>
      <c r="AV126" s="1" t="s">
        <v>158</v>
      </c>
    </row>
    <row r="127" spans="2:48" x14ac:dyDescent="0.2">
      <c r="B127">
        <f>ID编号[id编号]*1000+ROW()-6</f>
        <v>108121</v>
      </c>
      <c r="C127" s="8" t="s">
        <v>209</v>
      </c>
      <c r="D127">
        <v>1</v>
      </c>
      <c r="F127">
        <v>7</v>
      </c>
      <c r="G127">
        <v>5</v>
      </c>
      <c r="W127" s="13" t="e">
        <f>TEXT(INDEX(原始数据!$B$3:$H$26, MATCH(W$2, 原始数据!$A$3:$A$26, 0), MATCH($E127, 原始数据!$B$2:$H$2, 0))*85,"0.00")&amp;"-"&amp;TEXT(INDEX(原始数据!$B$3:$H$26, MATCH(W$2, 原始数据!$A$3:$A$26, 0), MATCH($E127, 原始数据!$B$2:$H$2, 0))*1,"0.00%")</f>
        <v>#N/A</v>
      </c>
      <c r="X127" s="13" t="e">
        <f>TEXT(INDEX(原始数据!$B$3:$H$26, MATCH(X$2, 原始数据!$A$3:$A$26, 0), MATCH($E127, 原始数据!$B$2:$H$2, 0))*85,"0.00")&amp;"-"&amp;TEXT(INDEX(原始数据!$B$3:$H$26, MATCH(X$2, 原始数据!$A$3:$A$26, 0), MATCH($E127, 原始数据!$B$2:$H$2, 0))*1,"0.00%")</f>
        <v>#N/A</v>
      </c>
      <c r="Y127" s="13" t="e">
        <f>TEXT(INDEX(原始数据!$B$3:$H$26, MATCH(Y$2, 原始数据!$A$3:$A$26, 0), MATCH($E127, 原始数据!$B$2:$H$2, 0))*85,"0.00")&amp;"-"&amp;TEXT(INDEX(原始数据!$B$3:$H$26, MATCH(Y$2, 原始数据!$A$3:$A$26, 0), MATCH($E127, 原始数据!$B$2:$H$2, 0))*1,"0.00%")</f>
        <v>#N/A</v>
      </c>
      <c r="Z127" s="13" t="e">
        <f>TEXT(INDEX(原始数据!$B$3:$H$26, MATCH(Z$2, 原始数据!$A$3:$A$26, 0), MATCH($E127, 原始数据!$B$2:$H$2, 0))*85,"0.00")&amp;"-"&amp;TEXT(INDEX(原始数据!$B$3:$H$26, MATCH(Z$2, 原始数据!$A$3:$A$26, 0), MATCH($E127, 原始数据!$B$2:$H$2, 0))*1,"0.00%")</f>
        <v>#N/A</v>
      </c>
      <c r="AA127" s="13"/>
      <c r="AC127" s="13"/>
      <c r="AD127" s="13" t="e">
        <f>INDEX(原始数据!$B$3:$H$26, MATCH(AD$2, 原始数据!$A$3:$A$26, 0), MATCH($E127, 原始数据!$B$2:$H$2, 0))*0.85&amp;"-"&amp;INDEX(原始数据!$B$3:$H$26, MATCH(AD$2, 原始数据!$A$3:$A$26, 0), MATCH($E127, 原始数据!$B$2:$H$2, 0))*1</f>
        <v>#N/A</v>
      </c>
      <c r="AE127" s="13" t="e">
        <f>TEXT(INDEX(原始数据!$B$3:$H$26, MATCH(AE$2, 原始数据!$A$3:$A$26, 0), MATCH($E127, 原始数据!$B$2:$H$2, 0))*85,"0.00")&amp;"-"&amp;TEXT(INDEX(原始数据!$B$3:$H$26, MATCH(AE$2, 原始数据!$A$3:$A$26, 0), MATCH($E127, 原始数据!$B$2:$H$2, 0))*1,"0.00%")</f>
        <v>#N/A</v>
      </c>
      <c r="AF127" s="13" t="e">
        <f>INDEX(原始数据!$B$3:$H$26, MATCH(AF$2, 原始数据!$A$3:$A$26, 0), MATCH($E127, 原始数据!$B$2:$H$2, 0))*0.85&amp;"-"&amp;INDEX(原始数据!$B$3:$H$26, MATCH(AF$2, 原始数据!$A$3:$A$26, 0), MATCH($E127, 原始数据!$B$2:$H$2, 0))*1</f>
        <v>#N/A</v>
      </c>
      <c r="AG127" s="13" t="e">
        <f>TEXT(INDEX(原始数据!$B$3:$H$26, MATCH(AG$2, 原始数据!$A$3:$A$26, 0), MATCH($E127, 原始数据!$B$2:$H$2, 0))*85,"0.00")&amp;"-"&amp;TEXT(INDEX(原始数据!$B$3:$H$26, MATCH(AG$2, 原始数据!$A$3:$A$26, 0), MATCH($E127, 原始数据!$B$2:$H$2, 0))*1,"0.00%")</f>
        <v>#N/A</v>
      </c>
      <c r="AH127" s="13" t="e">
        <f>INDEX(原始数据!$B$3:$H$26, MATCH(AH$2, 原始数据!$A$3:$A$26, 0), MATCH($E127, 原始数据!$B$2:$H$2, 0))*0.85&amp;"-"&amp;INDEX(原始数据!$B$3:$H$26, MATCH(AH$2, 原始数据!$A$3:$A$26, 0), MATCH($E127, 原始数据!$B$2:$H$2, 0))*1</f>
        <v>#N/A</v>
      </c>
      <c r="AI127" s="13" t="e">
        <f>TEXT(INDEX(原始数据!$B$3:$H$26, MATCH(AI$2, 原始数据!$A$3:$A$26, 0), MATCH($E127, 原始数据!$B$2:$H$2, 0))*85,"0.00")&amp;"-"&amp;TEXT(INDEX(原始数据!$B$3:$H$26, MATCH(AI$2, 原始数据!$A$3:$A$26, 0), MATCH($E127, 原始数据!$B$2:$H$2, 0))*1,"0.00%")</f>
        <v>#N/A</v>
      </c>
      <c r="AJ127" s="13" t="e">
        <f>INDEX(原始数据!$B$3:$H$26, MATCH(AJ$2, 原始数据!$A$3:$A$26, 0), MATCH($E127, 原始数据!$B$2:$H$2, 0))*0.85&amp;"-"&amp;INDEX(原始数据!$B$3:$H$26, MATCH(AJ$2, 原始数据!$A$3:$A$26, 0), MATCH($E127, 原始数据!$B$2:$H$2, 0))*1</f>
        <v>#N/A</v>
      </c>
      <c r="AK127" s="13" t="e">
        <f>TEXT(INDEX(原始数据!$B$3:$H$26, MATCH(AK$2, 原始数据!$A$3:$A$26, 0), MATCH($E127, 原始数据!$B$2:$H$2, 0))*85,"0.00")&amp;"-"&amp;TEXT(INDEX(原始数据!$B$3:$H$26, MATCH(AK$2, 原始数据!$A$3:$A$26, 0), MATCH($E127, 原始数据!$B$2:$H$2, 0))*1,"0.00%")</f>
        <v>#N/A</v>
      </c>
      <c r="AV127" s="1" t="s">
        <v>214</v>
      </c>
    </row>
    <row r="128" spans="2:48" x14ac:dyDescent="0.2">
      <c r="B128">
        <f>ID编号[id编号]*1000+ROW()-6</f>
        <v>108122</v>
      </c>
      <c r="C128" s="8" t="s">
        <v>144</v>
      </c>
      <c r="D128">
        <v>1</v>
      </c>
      <c r="F128">
        <v>6</v>
      </c>
      <c r="G128">
        <v>5</v>
      </c>
      <c r="K128" s="13" t="e">
        <f>TEXT(INDEX(原始数据!$B$3:$H$26, MATCH(K$2, 原始数据!$A$3:$A$26, 0), MATCH($E128, 原始数据!$B$2:$H$2, 0))*85,"0.00")&amp;"-"&amp;TEXT(INDEX(原始数据!$B$3:$H$26, MATCH(K$2, 原始数据!$A$3:$A$26, 0), MATCH($E128, 原始数据!$B$2:$H$2, 0))*1,"0.00%")</f>
        <v>#N/A</v>
      </c>
      <c r="L128" s="13" t="e">
        <f>TEXT(INDEX(原始数据!$B$3:$H$26, MATCH(L$2, 原始数据!$A$3:$A$26, 0), MATCH($E128, 原始数据!$B$2:$H$2, 0))*85,"0.00")&amp;"-"&amp;TEXT(INDEX(原始数据!$B$3:$H$26, MATCH(L$2, 原始数据!$A$3:$A$26, 0), MATCH($E128, 原始数据!$B$2:$H$2, 0))*1,"0.00%")</f>
        <v>#N/A</v>
      </c>
      <c r="M128" s="13" t="e">
        <f>INDEX(原始数据!$B$3:$H$26, MATCH(M$2, 原始数据!$A$3:$A$26, 0), MATCH($E128, 原始数据!$B$2:$H$2, 0))*0.85&amp;"-"&amp;INDEX(原始数据!$B$3:$H$26, MATCH(M$2, 原始数据!$A$3:$A$26, 0), MATCH($E128, 原始数据!$B$2:$H$2, 0))*1</f>
        <v>#N/A</v>
      </c>
      <c r="N128" s="13" t="e">
        <f>INDEX(原始数据!$B$3:$H$26, MATCH(N$2, 原始数据!$A$3:$A$26, 0), MATCH($E128, 原始数据!$B$2:$H$2, 0))*0.85&amp;"-"&amp;INDEX(原始数据!$B$3:$H$26, MATCH(N$2, 原始数据!$A$3:$A$26, 0), MATCH($E128, 原始数据!$B$2:$H$2, 0))*1</f>
        <v>#N/A</v>
      </c>
      <c r="O128" s="13"/>
      <c r="P128" s="13"/>
      <c r="Q128" s="13" t="e">
        <f>TEXT(INDEX(原始数据!$B$3:$H$26, MATCH(Q$2, 原始数据!$A$3:$A$26, 0), MATCH($E128, 原始数据!$B$2:$H$2, 0))*85,"0.00")&amp;"-"&amp;TEXT(INDEX(原始数据!$B$3:$H$26, MATCH(Q$2, 原始数据!$A$3:$A$26, 0), MATCH($E128, 原始数据!$B$2:$H$2, 0))*1,"0.00%")</f>
        <v>#N/A</v>
      </c>
      <c r="R128" s="13" t="e">
        <f>TEXT(INDEX(原始数据!$B$3:$H$26, MATCH(R$2, 原始数据!$A$3:$A$26, 0), MATCH($E128, 原始数据!$B$2:$H$2, 0))*85,"0.00")&amp;"-"&amp;TEXT(INDEX(原始数据!$B$3:$H$26, MATCH(R$2, 原始数据!$A$3:$A$26, 0), MATCH($E128, 原始数据!$B$2:$H$2, 0))*1,"0.00%")</f>
        <v>#N/A</v>
      </c>
      <c r="S128" s="13" t="e">
        <f>INDEX(原始数据!$B$3:$H$26, MATCH(S$2, 原始数据!$A$3:$A$26, 0), MATCH($E128, 原始数据!$B$2:$H$2, 0))*0.85&amp;"-"&amp;INDEX(原始数据!$B$3:$H$26, MATCH(S$2, 原始数据!$A$3:$A$26, 0), MATCH($E128, 原始数据!$B$2:$H$2, 0))*1</f>
        <v>#N/A</v>
      </c>
      <c r="T128" s="13" t="e">
        <f>INDEX(原始数据!$B$3:$H$26, MATCH(T$2, 原始数据!$A$3:$A$26, 0), MATCH($E128, 原始数据!$B$2:$H$2, 0))*0.85&amp;"-"&amp;INDEX(原始数据!$B$3:$H$26, MATCH(T$2, 原始数据!$A$3:$A$26, 0), MATCH($E128, 原始数据!$B$2:$H$2, 0))*1</f>
        <v>#N/A</v>
      </c>
      <c r="U128" s="13" t="e">
        <f>INDEX(原始数据!$B$3:$H$26, MATCH(U$2, 原始数据!$A$3:$A$26, 0), MATCH($E128, 原始数据!$B$2:$H$2, 0))*0.85&amp;"-"&amp;INDEX(原始数据!$B$3:$H$26, MATCH(U$2, 原始数据!$A$3:$A$26, 0), MATCH($E128, 原始数据!$B$2:$H$2, 0))*1</f>
        <v>#N/A</v>
      </c>
      <c r="V128" s="13" t="e">
        <f>INDEX(原始数据!$B$3:$H$26, MATCH(V$2, 原始数据!$A$3:$A$26, 0), MATCH($E128, 原始数据!$B$2:$H$2, 0))*0.85&amp;"-"&amp;INDEX(原始数据!$B$3:$H$26, MATCH(V$2, 原始数据!$A$3:$A$26, 0), MATCH($E128, 原始数据!$B$2:$H$2, 0))*1</f>
        <v>#N/A</v>
      </c>
      <c r="AB128" s="13" t="e">
        <f>TEXT(INDEX(原始数据!$B$3:$H$26, MATCH(AB$2, 原始数据!$A$3:$A$26, 0), MATCH($E128, 原始数据!$B$2:$H$2, 0))*80,"0.00")&amp;"-"&amp;TEXT(INDEX(原始数据!$B$3:$H$26, MATCH(AB$2, 原始数据!$A$3:$A$26, 0), MATCH($E128, 原始数据!$B$2:$H$2, 0))*0.95,"0.00%")</f>
        <v>#N/A</v>
      </c>
      <c r="AC128" s="13" t="e">
        <f>INDEX(原始数据!$B$3:$H$26, MATCH(AC$2, 原始数据!$A$3:$A$26, 0), MATCH($E128, 原始数据!$B$2:$H$2, 0))*0.8&amp;"-"&amp;INDEX(原始数据!$B$3:$H$26, MATCH(AC$2, 原始数据!$A$3:$A$26, 0), MATCH($E128, 原始数据!$B$2:$H$2, 0))*0.95</f>
        <v>#N/A</v>
      </c>
      <c r="AV128" s="1" t="s">
        <v>215</v>
      </c>
    </row>
    <row r="129" spans="2:48" x14ac:dyDescent="0.2">
      <c r="B129">
        <f>ID编号[id编号]*1000+ROW()-6</f>
        <v>108123</v>
      </c>
      <c r="C129" s="8" t="s">
        <v>210</v>
      </c>
      <c r="D129">
        <v>2</v>
      </c>
      <c r="F129">
        <v>0</v>
      </c>
      <c r="G129">
        <v>5</v>
      </c>
      <c r="AV129" s="1" t="s">
        <v>216</v>
      </c>
    </row>
    <row r="130" spans="2:48" x14ac:dyDescent="0.2">
      <c r="B130">
        <f>ID编号[id编号]*1000+ROW()-6</f>
        <v>108124</v>
      </c>
      <c r="C130" s="8" t="s">
        <v>211</v>
      </c>
      <c r="D130">
        <v>1</v>
      </c>
      <c r="F130">
        <v>7</v>
      </c>
      <c r="G130">
        <v>5</v>
      </c>
      <c r="W130" s="13" t="e">
        <f>TEXT(INDEX(原始数据!$B$3:$H$26, MATCH(W$2, 原始数据!$A$3:$A$26, 0), MATCH($E130, 原始数据!$B$2:$H$2, 0))*85,"0.00")&amp;"-"&amp;TEXT(INDEX(原始数据!$B$3:$H$26, MATCH(W$2, 原始数据!$A$3:$A$26, 0), MATCH($E130, 原始数据!$B$2:$H$2, 0))*1,"0.00%")</f>
        <v>#N/A</v>
      </c>
      <c r="X130" s="13" t="e">
        <f>TEXT(INDEX(原始数据!$B$3:$H$26, MATCH(X$2, 原始数据!$A$3:$A$26, 0), MATCH($E130, 原始数据!$B$2:$H$2, 0))*85,"0.00")&amp;"-"&amp;TEXT(INDEX(原始数据!$B$3:$H$26, MATCH(X$2, 原始数据!$A$3:$A$26, 0), MATCH($E130, 原始数据!$B$2:$H$2, 0))*1,"0.00%")</f>
        <v>#N/A</v>
      </c>
      <c r="Y130" s="13" t="e">
        <f>TEXT(INDEX(原始数据!$B$3:$H$26, MATCH(Y$2, 原始数据!$A$3:$A$26, 0), MATCH($E130, 原始数据!$B$2:$H$2, 0))*85,"0.00")&amp;"-"&amp;TEXT(INDEX(原始数据!$B$3:$H$26, MATCH(Y$2, 原始数据!$A$3:$A$26, 0), MATCH($E130, 原始数据!$B$2:$H$2, 0))*1,"0.00%")</f>
        <v>#N/A</v>
      </c>
      <c r="Z130" s="13" t="e">
        <f>TEXT(INDEX(原始数据!$B$3:$H$26, MATCH(Z$2, 原始数据!$A$3:$A$26, 0), MATCH($E130, 原始数据!$B$2:$H$2, 0))*85,"0.00")&amp;"-"&amp;TEXT(INDEX(原始数据!$B$3:$H$26, MATCH(Z$2, 原始数据!$A$3:$A$26, 0), MATCH($E130, 原始数据!$B$2:$H$2, 0))*1,"0.00%")</f>
        <v>#N/A</v>
      </c>
      <c r="AA130" s="13"/>
      <c r="AC130" s="13"/>
      <c r="AD130" s="13" t="e">
        <f>INDEX(原始数据!$B$3:$H$26, MATCH(AD$2, 原始数据!$A$3:$A$26, 0), MATCH($E130, 原始数据!$B$2:$H$2, 0))*0.85&amp;"-"&amp;INDEX(原始数据!$B$3:$H$26, MATCH(AD$2, 原始数据!$A$3:$A$26, 0), MATCH($E130, 原始数据!$B$2:$H$2, 0))*1</f>
        <v>#N/A</v>
      </c>
      <c r="AE130" s="13" t="e">
        <f>TEXT(INDEX(原始数据!$B$3:$H$26, MATCH(AE$2, 原始数据!$A$3:$A$26, 0), MATCH($E130, 原始数据!$B$2:$H$2, 0))*85,"0.00")&amp;"-"&amp;TEXT(INDEX(原始数据!$B$3:$H$26, MATCH(AE$2, 原始数据!$A$3:$A$26, 0), MATCH($E130, 原始数据!$B$2:$H$2, 0))*1,"0.00%")</f>
        <v>#N/A</v>
      </c>
      <c r="AF130" s="13" t="e">
        <f>INDEX(原始数据!$B$3:$H$26, MATCH(AF$2, 原始数据!$A$3:$A$26, 0), MATCH($E130, 原始数据!$B$2:$H$2, 0))*0.85&amp;"-"&amp;INDEX(原始数据!$B$3:$H$26, MATCH(AF$2, 原始数据!$A$3:$A$26, 0), MATCH($E130, 原始数据!$B$2:$H$2, 0))*1</f>
        <v>#N/A</v>
      </c>
      <c r="AG130" s="13" t="e">
        <f>TEXT(INDEX(原始数据!$B$3:$H$26, MATCH(AG$2, 原始数据!$A$3:$A$26, 0), MATCH($E130, 原始数据!$B$2:$H$2, 0))*85,"0.00")&amp;"-"&amp;TEXT(INDEX(原始数据!$B$3:$H$26, MATCH(AG$2, 原始数据!$A$3:$A$26, 0), MATCH($E130, 原始数据!$B$2:$H$2, 0))*1,"0.00%")</f>
        <v>#N/A</v>
      </c>
      <c r="AH130" s="13" t="e">
        <f>INDEX(原始数据!$B$3:$H$26, MATCH(AH$2, 原始数据!$A$3:$A$26, 0), MATCH($E130, 原始数据!$B$2:$H$2, 0))*0.85&amp;"-"&amp;INDEX(原始数据!$B$3:$H$26, MATCH(AH$2, 原始数据!$A$3:$A$26, 0), MATCH($E130, 原始数据!$B$2:$H$2, 0))*1</f>
        <v>#N/A</v>
      </c>
      <c r="AI130" s="13" t="e">
        <f>TEXT(INDEX(原始数据!$B$3:$H$26, MATCH(AI$2, 原始数据!$A$3:$A$26, 0), MATCH($E130, 原始数据!$B$2:$H$2, 0))*85,"0.00")&amp;"-"&amp;TEXT(INDEX(原始数据!$B$3:$H$26, MATCH(AI$2, 原始数据!$A$3:$A$26, 0), MATCH($E130, 原始数据!$B$2:$H$2, 0))*1,"0.00%")</f>
        <v>#N/A</v>
      </c>
      <c r="AJ130" s="13" t="e">
        <f>INDEX(原始数据!$B$3:$H$26, MATCH(AJ$2, 原始数据!$A$3:$A$26, 0), MATCH($E130, 原始数据!$B$2:$H$2, 0))*0.85&amp;"-"&amp;INDEX(原始数据!$B$3:$H$26, MATCH(AJ$2, 原始数据!$A$3:$A$26, 0), MATCH($E130, 原始数据!$B$2:$H$2, 0))*1</f>
        <v>#N/A</v>
      </c>
      <c r="AK130" s="13" t="e">
        <f>TEXT(INDEX(原始数据!$B$3:$H$26, MATCH(AK$2, 原始数据!$A$3:$A$26, 0), MATCH($E130, 原始数据!$B$2:$H$2, 0))*85,"0.00")&amp;"-"&amp;TEXT(INDEX(原始数据!$B$3:$H$26, MATCH(AK$2, 原始数据!$A$3:$A$26, 0), MATCH($E130, 原始数据!$B$2:$H$2, 0))*1,"0.00%")</f>
        <v>#N/A</v>
      </c>
      <c r="AV130" s="1" t="s">
        <v>217</v>
      </c>
    </row>
    <row r="131" spans="2:48" x14ac:dyDescent="0.2">
      <c r="B131">
        <f>ID编号[id编号]*1000+ROW()-6</f>
        <v>108125</v>
      </c>
      <c r="C131" s="8" t="s">
        <v>212</v>
      </c>
      <c r="D131">
        <v>3</v>
      </c>
      <c r="F131">
        <v>3</v>
      </c>
      <c r="G131">
        <v>5</v>
      </c>
      <c r="AF131" s="13" t="e">
        <f>INDEX(原始数据!$B$3:$H$26, MATCH(AF$2, 原始数据!$A$3:$A$26, 0), MATCH($E131, 原始数据!$B$2:$H$2, 0))*0.85&amp;"-"&amp;INDEX(原始数据!$B$3:$H$26, MATCH(AF$2, 原始数据!$A$3:$A$26, 0), MATCH($E131, 原始数据!$B$2:$H$2, 0))*1</f>
        <v>#N/A</v>
      </c>
      <c r="AG131" s="13" t="e">
        <f>TEXT(INDEX(原始数据!$B$3:$H$26, MATCH(AG$2, 原始数据!$A$3:$A$26, 0), MATCH($E131, 原始数据!$B$2:$H$2, 0))*85,"0.00")&amp;"-"&amp;TEXT(INDEX(原始数据!$B$3:$H$26, MATCH(AG$2, 原始数据!$A$3:$A$26, 0), MATCH($E131, 原始数据!$B$2:$H$2, 0))*1,"0.00%")</f>
        <v>#N/A</v>
      </c>
      <c r="AH131" s="13"/>
      <c r="AJ131" s="13" t="e">
        <f>INDEX(原始数据!$B$3:$H$26, MATCH(AJ$2, 原始数据!$A$3:$A$26, 0), MATCH($E131, 原始数据!$B$2:$H$2, 0))*0.85&amp;"-"&amp;INDEX(原始数据!$B$3:$H$26, MATCH(AJ$2, 原始数据!$A$3:$A$26, 0), MATCH($E131, 原始数据!$B$2:$H$2, 0))*1</f>
        <v>#N/A</v>
      </c>
      <c r="AK131" s="13" t="e">
        <f>TEXT(INDEX(原始数据!$B$3:$H$26, MATCH(AK$2, 原始数据!$A$3:$A$26, 0), MATCH($E131, 原始数据!$B$2:$H$2, 0))*85,"0.00")&amp;"-"&amp;TEXT(INDEX(原始数据!$B$3:$H$26, MATCH(AK$2, 原始数据!$A$3:$A$26, 0), MATCH($E131, 原始数据!$B$2:$H$2, 0))*1,"0.00%")</f>
        <v>#N/A</v>
      </c>
      <c r="AV131" s="1" t="s">
        <v>218</v>
      </c>
    </row>
    <row r="132" spans="2:48" x14ac:dyDescent="0.2">
      <c r="B132">
        <f>ID编号[id编号]*1000+ROW()-6</f>
        <v>108126</v>
      </c>
      <c r="C132" s="1"/>
    </row>
    <row r="133" spans="2:48" x14ac:dyDescent="0.2">
      <c r="B133">
        <f>ID编号[id编号]*1000+ROW()-6</f>
        <v>108127</v>
      </c>
      <c r="C133" s="1"/>
    </row>
    <row r="134" spans="2:48" x14ac:dyDescent="0.2">
      <c r="B134">
        <f>ID编号[id编号]*1000+ROW()-6</f>
        <v>108128</v>
      </c>
      <c r="C134" s="1"/>
    </row>
    <row r="135" spans="2:48" x14ac:dyDescent="0.2">
      <c r="B135">
        <f>ID编号[id编号]*1000+ROW()-6</f>
        <v>108129</v>
      </c>
      <c r="C135" s="1"/>
    </row>
    <row r="136" spans="2:48" x14ac:dyDescent="0.2">
      <c r="B136">
        <f>ID编号[id编号]*1000+ROW()-6</f>
        <v>108130</v>
      </c>
      <c r="C136" s="1"/>
    </row>
    <row r="137" spans="2:48" x14ac:dyDescent="0.2">
      <c r="B137">
        <f>ID编号[id编号]*1000+ROW()-6</f>
        <v>108131</v>
      </c>
      <c r="C137" s="1"/>
    </row>
    <row r="138" spans="2:48" x14ac:dyDescent="0.2">
      <c r="B138">
        <f>ID编号[id编号]*1000+ROW()-6</f>
        <v>108132</v>
      </c>
      <c r="C138" s="1"/>
    </row>
    <row r="139" spans="2:48" x14ac:dyDescent="0.2">
      <c r="B139">
        <f>ID编号[id编号]*1000+ROW()-6</f>
        <v>108133</v>
      </c>
      <c r="C139" s="1"/>
    </row>
    <row r="140" spans="2:48" x14ac:dyDescent="0.2">
      <c r="B140">
        <f>ID编号[id编号]*1000+ROW()-6</f>
        <v>108134</v>
      </c>
      <c r="C140" s="1"/>
    </row>
    <row r="141" spans="2:48" x14ac:dyDescent="0.2">
      <c r="B141">
        <f>ID编号[id编号]*1000+ROW()-6</f>
        <v>108135</v>
      </c>
      <c r="C141" s="1"/>
    </row>
    <row r="142" spans="2:48" x14ac:dyDescent="0.2">
      <c r="B142">
        <f>ID编号[id编号]*1000+ROW()-6</f>
        <v>108136</v>
      </c>
      <c r="C142" s="1"/>
    </row>
    <row r="143" spans="2:48" x14ac:dyDescent="0.2">
      <c r="B143">
        <f>ID编号[id编号]*1000+ROW()-6</f>
        <v>108137</v>
      </c>
      <c r="C143" s="1"/>
    </row>
    <row r="144" spans="2:48" x14ac:dyDescent="0.2">
      <c r="B144">
        <f>ID编号[id编号]*1000+ROW()-6</f>
        <v>108138</v>
      </c>
      <c r="C144" s="1"/>
    </row>
    <row r="145" spans="2:3" x14ac:dyDescent="0.2">
      <c r="B145">
        <f>ID编号[id编号]*1000+ROW()-6</f>
        <v>108139</v>
      </c>
      <c r="C145" s="1"/>
    </row>
    <row r="146" spans="2:3" x14ac:dyDescent="0.2">
      <c r="B146">
        <f>ID编号[id编号]*1000+ROW()-6</f>
        <v>108140</v>
      </c>
      <c r="C146" s="1"/>
    </row>
    <row r="147" spans="2:3" x14ac:dyDescent="0.2">
      <c r="B147">
        <f>ID编号[id编号]*1000+ROW()-6</f>
        <v>108141</v>
      </c>
      <c r="C147" s="1"/>
    </row>
    <row r="148" spans="2:3" x14ac:dyDescent="0.2">
      <c r="B148">
        <f>ID编号[id编号]*1000+ROW()-6</f>
        <v>108142</v>
      </c>
      <c r="C148" s="1"/>
    </row>
    <row r="149" spans="2:3" x14ac:dyDescent="0.2">
      <c r="B149">
        <f>ID编号[id编号]*1000+ROW()-6</f>
        <v>108143</v>
      </c>
      <c r="C149" s="1"/>
    </row>
    <row r="150" spans="2:3" x14ac:dyDescent="0.2">
      <c r="B150">
        <f>ID编号[id编号]*1000+ROW()-6</f>
        <v>108144</v>
      </c>
      <c r="C150" s="1"/>
    </row>
  </sheetData>
  <phoneticPr fontId="1"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FB5-5774-4220-979D-AC0E623F6B13}">
  <sheetPr codeName="Sheet3"/>
  <dimension ref="A1:AU127"/>
  <sheetViews>
    <sheetView tabSelected="1" topLeftCell="Q1" workbookViewId="0">
      <selection activeCell="X31" sqref="X31"/>
    </sheetView>
  </sheetViews>
  <sheetFormatPr defaultRowHeight="14.25" x14ac:dyDescent="0.2"/>
  <sheetData>
    <row r="1" spans="1:47" x14ac:dyDescent="0.2">
      <c r="A1" s="1" t="s">
        <v>8</v>
      </c>
      <c r="B1" s="1" t="s">
        <v>9</v>
      </c>
      <c r="C1" t="s">
        <v>17</v>
      </c>
      <c r="D1" t="s">
        <v>13</v>
      </c>
      <c r="E1" t="s">
        <v>106</v>
      </c>
      <c r="F1" t="s">
        <v>227</v>
      </c>
      <c r="G1" t="s">
        <v>226</v>
      </c>
      <c r="H1" s="12" t="s">
        <v>471</v>
      </c>
      <c r="I1" s="12" t="s">
        <v>472</v>
      </c>
      <c r="J1" s="13" t="s">
        <v>477</v>
      </c>
      <c r="K1" s="13" t="s">
        <v>478</v>
      </c>
      <c r="L1" s="12" t="s">
        <v>473</v>
      </c>
      <c r="M1" s="12" t="s">
        <v>474</v>
      </c>
      <c r="N1" s="12" t="s">
        <v>475</v>
      </c>
      <c r="O1" s="12" t="s">
        <v>476</v>
      </c>
      <c r="P1" s="13" t="s">
        <v>479</v>
      </c>
      <c r="Q1" s="13" t="s">
        <v>480</v>
      </c>
      <c r="R1" s="12" t="s">
        <v>89</v>
      </c>
      <c r="S1" s="12" t="s">
        <v>90</v>
      </c>
      <c r="T1" s="13" t="s">
        <v>91</v>
      </c>
      <c r="U1" s="13" t="s">
        <v>92</v>
      </c>
      <c r="V1" s="13" t="s">
        <v>93</v>
      </c>
      <c r="W1" s="13" t="s">
        <v>94</v>
      </c>
      <c r="X1" s="13" t="s">
        <v>95</v>
      </c>
      <c r="Y1" s="13" t="s">
        <v>96</v>
      </c>
      <c r="Z1" s="12" t="s">
        <v>481</v>
      </c>
      <c r="AA1" s="13" t="s">
        <v>482</v>
      </c>
      <c r="AB1" s="12" t="s">
        <v>97</v>
      </c>
      <c r="AC1" s="12" t="s">
        <v>483</v>
      </c>
      <c r="AD1" s="13" t="s">
        <v>489</v>
      </c>
      <c r="AE1" s="12" t="s">
        <v>484</v>
      </c>
      <c r="AF1" s="13" t="s">
        <v>485</v>
      </c>
      <c r="AG1" s="12" t="s">
        <v>486</v>
      </c>
      <c r="AH1" s="13" t="s">
        <v>490</v>
      </c>
      <c r="AI1" s="12" t="s">
        <v>487</v>
      </c>
      <c r="AJ1" s="13" t="s">
        <v>488</v>
      </c>
      <c r="AK1" s="13" t="s">
        <v>461</v>
      </c>
      <c r="AL1" s="13" t="s">
        <v>464</v>
      </c>
      <c r="AM1" s="13" t="s">
        <v>465</v>
      </c>
      <c r="AN1" s="13" t="s">
        <v>466</v>
      </c>
      <c r="AO1" s="13" t="s">
        <v>467</v>
      </c>
      <c r="AP1" s="13" t="s">
        <v>468</v>
      </c>
      <c r="AQ1" s="13" t="s">
        <v>469</v>
      </c>
      <c r="AR1" s="13" t="s">
        <v>470</v>
      </c>
      <c r="AS1" s="13" t="s">
        <v>416</v>
      </c>
      <c r="AT1" s="13" t="s">
        <v>417</v>
      </c>
      <c r="AU1" t="s">
        <v>228</v>
      </c>
    </row>
    <row r="2" spans="1:47" x14ac:dyDescent="0.2">
      <c r="A2" s="1" t="s">
        <v>6</v>
      </c>
      <c r="B2" s="1" t="s">
        <v>12</v>
      </c>
      <c r="C2" s="1" t="s">
        <v>14</v>
      </c>
      <c r="D2" s="1" t="s">
        <v>14</v>
      </c>
      <c r="E2" s="1" t="s">
        <v>14</v>
      </c>
      <c r="F2" s="1" t="s">
        <v>14</v>
      </c>
      <c r="G2" s="1" t="s">
        <v>12</v>
      </c>
      <c r="H2" s="1" t="s">
        <v>12</v>
      </c>
      <c r="I2" s="1" t="s">
        <v>12</v>
      </c>
      <c r="J2" s="1" t="s">
        <v>12</v>
      </c>
      <c r="K2" s="1" t="s">
        <v>12</v>
      </c>
      <c r="L2" s="1" t="s">
        <v>12</v>
      </c>
      <c r="M2" s="1" t="s">
        <v>12</v>
      </c>
      <c r="N2" s="1" t="s">
        <v>12</v>
      </c>
      <c r="O2" s="1" t="s">
        <v>12</v>
      </c>
      <c r="P2" s="1" t="s">
        <v>12</v>
      </c>
      <c r="Q2" s="1" t="s">
        <v>12</v>
      </c>
      <c r="R2" s="1" t="s">
        <v>12</v>
      </c>
      <c r="S2" s="1" t="s">
        <v>12</v>
      </c>
      <c r="T2" s="1" t="s">
        <v>12</v>
      </c>
      <c r="U2" s="1" t="s">
        <v>12</v>
      </c>
      <c r="V2" s="1" t="s">
        <v>12</v>
      </c>
      <c r="W2" s="1" t="s">
        <v>12</v>
      </c>
      <c r="X2" s="1" t="s">
        <v>12</v>
      </c>
      <c r="Y2" s="1" t="s">
        <v>12</v>
      </c>
      <c r="Z2" s="1" t="s">
        <v>12</v>
      </c>
      <c r="AA2" s="1" t="s">
        <v>12</v>
      </c>
      <c r="AB2" s="1" t="s">
        <v>12</v>
      </c>
      <c r="AC2" s="1" t="s">
        <v>12</v>
      </c>
      <c r="AD2" s="1" t="s">
        <v>12</v>
      </c>
      <c r="AE2" s="1" t="s">
        <v>12</v>
      </c>
      <c r="AF2" s="1" t="s">
        <v>12</v>
      </c>
      <c r="AG2" s="1" t="s">
        <v>12</v>
      </c>
      <c r="AH2" s="1" t="s">
        <v>12</v>
      </c>
      <c r="AI2" s="1" t="s">
        <v>12</v>
      </c>
      <c r="AJ2" s="1" t="s">
        <v>12</v>
      </c>
      <c r="AK2" s="1" t="s">
        <v>12</v>
      </c>
      <c r="AL2" s="1" t="s">
        <v>12</v>
      </c>
      <c r="AM2" s="1" t="s">
        <v>12</v>
      </c>
      <c r="AN2" s="1" t="s">
        <v>12</v>
      </c>
      <c r="AO2" s="1" t="s">
        <v>12</v>
      </c>
      <c r="AP2" s="1" t="s">
        <v>12</v>
      </c>
      <c r="AQ2" s="1" t="s">
        <v>12</v>
      </c>
      <c r="AR2" s="1" t="s">
        <v>12</v>
      </c>
      <c r="AS2" s="1" t="s">
        <v>12</v>
      </c>
      <c r="AT2" s="1" t="s">
        <v>12</v>
      </c>
      <c r="AU2" s="1" t="s">
        <v>12</v>
      </c>
    </row>
    <row r="3" spans="1:47" x14ac:dyDescent="0.2">
      <c r="A3">
        <v>108001</v>
      </c>
      <c r="B3" t="s">
        <v>20</v>
      </c>
      <c r="C3">
        <v>0</v>
      </c>
      <c r="D3">
        <v>1</v>
      </c>
      <c r="F3">
        <v>0</v>
      </c>
      <c r="AK3" t="s">
        <v>438</v>
      </c>
      <c r="AL3" t="s">
        <v>438</v>
      </c>
      <c r="AM3" t="s">
        <v>438</v>
      </c>
      <c r="AN3" t="s">
        <v>438</v>
      </c>
      <c r="AO3" t="s">
        <v>445</v>
      </c>
      <c r="AP3" t="s">
        <v>445</v>
      </c>
      <c r="AQ3" t="s">
        <v>445</v>
      </c>
      <c r="AR3" t="s">
        <v>445</v>
      </c>
      <c r="AS3" t="s">
        <v>452</v>
      </c>
      <c r="AT3" t="s">
        <v>452</v>
      </c>
      <c r="AU3" t="s">
        <v>459</v>
      </c>
    </row>
    <row r="4" spans="1:47" x14ac:dyDescent="0.2">
      <c r="A4" s="1">
        <v>108002</v>
      </c>
      <c r="B4" t="s">
        <v>22</v>
      </c>
      <c r="C4">
        <v>0</v>
      </c>
      <c r="D4">
        <v>2</v>
      </c>
      <c r="F4">
        <v>0</v>
      </c>
      <c r="AK4" t="s">
        <v>439</v>
      </c>
      <c r="AL4" t="s">
        <v>439</v>
      </c>
      <c r="AM4" t="s">
        <v>439</v>
      </c>
      <c r="AN4" t="s">
        <v>439</v>
      </c>
      <c r="AO4" t="s">
        <v>446</v>
      </c>
      <c r="AP4" t="s">
        <v>446</v>
      </c>
      <c r="AQ4" t="s">
        <v>446</v>
      </c>
      <c r="AR4" t="s">
        <v>446</v>
      </c>
      <c r="AS4" t="s">
        <v>453</v>
      </c>
      <c r="AT4" t="s">
        <v>453</v>
      </c>
      <c r="AU4" t="s">
        <v>460</v>
      </c>
    </row>
    <row r="5" spans="1:47" x14ac:dyDescent="0.2">
      <c r="A5" s="1">
        <v>108003</v>
      </c>
      <c r="B5" t="s">
        <v>21</v>
      </c>
      <c r="C5">
        <v>0</v>
      </c>
      <c r="D5">
        <v>2</v>
      </c>
      <c r="F5">
        <v>0</v>
      </c>
      <c r="AK5" t="s">
        <v>439</v>
      </c>
      <c r="AL5" t="s">
        <v>439</v>
      </c>
      <c r="AM5" t="s">
        <v>439</v>
      </c>
      <c r="AN5" t="s">
        <v>439</v>
      </c>
      <c r="AO5" t="s">
        <v>446</v>
      </c>
      <c r="AP5" t="s">
        <v>446</v>
      </c>
      <c r="AQ5" t="s">
        <v>446</v>
      </c>
      <c r="AR5" t="s">
        <v>446</v>
      </c>
      <c r="AS5" t="s">
        <v>453</v>
      </c>
      <c r="AT5" t="s">
        <v>453</v>
      </c>
      <c r="AU5" t="s">
        <v>350</v>
      </c>
    </row>
    <row r="6" spans="1:47" x14ac:dyDescent="0.2">
      <c r="A6" s="1">
        <v>108004</v>
      </c>
      <c r="B6" t="s">
        <v>23</v>
      </c>
      <c r="C6">
        <v>0</v>
      </c>
      <c r="D6">
        <v>3</v>
      </c>
      <c r="F6">
        <v>0</v>
      </c>
      <c r="AK6" t="s">
        <v>440</v>
      </c>
      <c r="AL6" t="s">
        <v>440</v>
      </c>
      <c r="AM6" t="s">
        <v>440</v>
      </c>
      <c r="AN6" t="s">
        <v>440</v>
      </c>
      <c r="AO6" t="s">
        <v>447</v>
      </c>
      <c r="AP6" t="s">
        <v>447</v>
      </c>
      <c r="AQ6" t="s">
        <v>447</v>
      </c>
      <c r="AR6" t="s">
        <v>447</v>
      </c>
      <c r="AS6" t="s">
        <v>454</v>
      </c>
      <c r="AT6" t="s">
        <v>454</v>
      </c>
      <c r="AU6" t="s">
        <v>351</v>
      </c>
    </row>
    <row r="7" spans="1:47" x14ac:dyDescent="0.2">
      <c r="A7" s="1">
        <v>108005</v>
      </c>
      <c r="B7" t="s">
        <v>24</v>
      </c>
      <c r="C7">
        <v>0</v>
      </c>
      <c r="D7">
        <v>3</v>
      </c>
      <c r="F7">
        <v>0</v>
      </c>
      <c r="AK7" t="s">
        <v>440</v>
      </c>
      <c r="AL7" t="s">
        <v>440</v>
      </c>
      <c r="AM7" t="s">
        <v>440</v>
      </c>
      <c r="AN7" t="s">
        <v>440</v>
      </c>
      <c r="AO7" t="s">
        <v>447</v>
      </c>
      <c r="AP7" t="s">
        <v>447</v>
      </c>
      <c r="AQ7" t="s">
        <v>447</v>
      </c>
      <c r="AR7" t="s">
        <v>447</v>
      </c>
      <c r="AS7" t="s">
        <v>454</v>
      </c>
      <c r="AT7" t="s">
        <v>454</v>
      </c>
      <c r="AU7" t="s">
        <v>352</v>
      </c>
    </row>
    <row r="8" spans="1:47" x14ac:dyDescent="0.2">
      <c r="A8" s="1">
        <v>108006</v>
      </c>
      <c r="B8" t="s">
        <v>25</v>
      </c>
      <c r="C8">
        <v>0</v>
      </c>
      <c r="D8">
        <v>4</v>
      </c>
      <c r="F8">
        <v>0</v>
      </c>
      <c r="AK8" t="s">
        <v>441</v>
      </c>
      <c r="AL8" t="s">
        <v>441</v>
      </c>
      <c r="AM8" t="s">
        <v>441</v>
      </c>
      <c r="AN8" t="s">
        <v>441</v>
      </c>
      <c r="AO8" t="s">
        <v>448</v>
      </c>
      <c r="AP8" t="s">
        <v>448</v>
      </c>
      <c r="AQ8" t="s">
        <v>448</v>
      </c>
      <c r="AR8" t="s">
        <v>448</v>
      </c>
      <c r="AS8" t="s">
        <v>455</v>
      </c>
      <c r="AT8" t="s">
        <v>455</v>
      </c>
      <c r="AU8" t="s">
        <v>353</v>
      </c>
    </row>
    <row r="9" spans="1:47" x14ac:dyDescent="0.2">
      <c r="A9" s="1">
        <v>108007</v>
      </c>
      <c r="B9" t="s">
        <v>26</v>
      </c>
      <c r="C9">
        <v>0</v>
      </c>
      <c r="D9">
        <v>4</v>
      </c>
      <c r="F9">
        <v>0</v>
      </c>
      <c r="AK9" t="s">
        <v>441</v>
      </c>
      <c r="AL9" t="s">
        <v>441</v>
      </c>
      <c r="AM9" t="s">
        <v>441</v>
      </c>
      <c r="AN9" t="s">
        <v>441</v>
      </c>
      <c r="AO9" t="s">
        <v>448</v>
      </c>
      <c r="AP9" t="s">
        <v>448</v>
      </c>
      <c r="AQ9" t="s">
        <v>448</v>
      </c>
      <c r="AR9" t="s">
        <v>448</v>
      </c>
      <c r="AS9" t="s">
        <v>455</v>
      </c>
      <c r="AT9" t="s">
        <v>455</v>
      </c>
      <c r="AU9" t="s">
        <v>354</v>
      </c>
    </row>
    <row r="10" spans="1:47" x14ac:dyDescent="0.2">
      <c r="A10" s="1">
        <v>108008</v>
      </c>
      <c r="B10" t="s">
        <v>27</v>
      </c>
      <c r="C10">
        <v>0</v>
      </c>
      <c r="D10">
        <v>5</v>
      </c>
      <c r="F10">
        <v>0</v>
      </c>
      <c r="AK10" t="s">
        <v>442</v>
      </c>
      <c r="AL10" t="s">
        <v>442</v>
      </c>
      <c r="AM10" t="s">
        <v>442</v>
      </c>
      <c r="AN10" t="s">
        <v>442</v>
      </c>
      <c r="AO10" t="s">
        <v>449</v>
      </c>
      <c r="AP10" t="s">
        <v>449</v>
      </c>
      <c r="AQ10" t="s">
        <v>449</v>
      </c>
      <c r="AR10" t="s">
        <v>449</v>
      </c>
      <c r="AS10" t="s">
        <v>456</v>
      </c>
      <c r="AT10" t="s">
        <v>456</v>
      </c>
      <c r="AU10" t="s">
        <v>355</v>
      </c>
    </row>
    <row r="11" spans="1:47" x14ac:dyDescent="0.2">
      <c r="A11" s="1">
        <v>108009</v>
      </c>
      <c r="B11" t="s">
        <v>28</v>
      </c>
      <c r="C11">
        <v>0</v>
      </c>
      <c r="D11">
        <v>6</v>
      </c>
      <c r="F11">
        <v>0</v>
      </c>
      <c r="AK11" t="s">
        <v>443</v>
      </c>
      <c r="AL11" t="s">
        <v>443</v>
      </c>
      <c r="AM11" t="s">
        <v>443</v>
      </c>
      <c r="AN11" t="s">
        <v>443</v>
      </c>
      <c r="AO11" t="s">
        <v>450</v>
      </c>
      <c r="AP11" t="s">
        <v>450</v>
      </c>
      <c r="AQ11" t="s">
        <v>450</v>
      </c>
      <c r="AR11" t="s">
        <v>450</v>
      </c>
      <c r="AS11" t="s">
        <v>457</v>
      </c>
      <c r="AT11" t="s">
        <v>457</v>
      </c>
      <c r="AU11" t="s">
        <v>356</v>
      </c>
    </row>
    <row r="12" spans="1:47" x14ac:dyDescent="0.2">
      <c r="A12" s="1">
        <v>108010</v>
      </c>
      <c r="B12" t="s">
        <v>229</v>
      </c>
      <c r="C12">
        <v>0</v>
      </c>
      <c r="D12">
        <v>7</v>
      </c>
      <c r="F12">
        <v>0</v>
      </c>
      <c r="AK12" t="s">
        <v>444</v>
      </c>
      <c r="AL12" t="s">
        <v>444</v>
      </c>
      <c r="AM12" t="s">
        <v>444</v>
      </c>
      <c r="AN12" t="s">
        <v>444</v>
      </c>
      <c r="AO12" t="s">
        <v>451</v>
      </c>
      <c r="AP12" t="s">
        <v>451</v>
      </c>
      <c r="AQ12" t="s">
        <v>451</v>
      </c>
      <c r="AR12" t="s">
        <v>451</v>
      </c>
      <c r="AS12" t="s">
        <v>458</v>
      </c>
      <c r="AT12" t="s">
        <v>458</v>
      </c>
      <c r="AU12" t="s">
        <v>357</v>
      </c>
    </row>
    <row r="13" spans="1:47" x14ac:dyDescent="0.2">
      <c r="A13" s="1">
        <v>108011</v>
      </c>
      <c r="B13" t="s">
        <v>36</v>
      </c>
      <c r="C13">
        <v>1</v>
      </c>
      <c r="D13">
        <v>1</v>
      </c>
      <c r="E13">
        <v>6</v>
      </c>
      <c r="F13">
        <v>0</v>
      </c>
      <c r="J13" t="s">
        <v>290</v>
      </c>
      <c r="K13" t="s">
        <v>290</v>
      </c>
      <c r="L13" t="s">
        <v>236</v>
      </c>
      <c r="M13" t="s">
        <v>236</v>
      </c>
      <c r="P13" t="s">
        <v>290</v>
      </c>
      <c r="Q13" t="s">
        <v>290</v>
      </c>
      <c r="R13" t="s">
        <v>249</v>
      </c>
      <c r="S13" t="s">
        <v>249</v>
      </c>
      <c r="T13" t="s">
        <v>418</v>
      </c>
      <c r="U13" t="s">
        <v>420</v>
      </c>
      <c r="AA13" t="s">
        <v>329</v>
      </c>
      <c r="AB13" t="s">
        <v>264</v>
      </c>
      <c r="AU13" t="s">
        <v>358</v>
      </c>
    </row>
    <row r="14" spans="1:47" x14ac:dyDescent="0.2">
      <c r="A14" s="1">
        <v>108012</v>
      </c>
      <c r="B14" t="s">
        <v>29</v>
      </c>
      <c r="C14">
        <v>1</v>
      </c>
      <c r="D14">
        <v>1</v>
      </c>
      <c r="E14">
        <v>7</v>
      </c>
      <c r="F14">
        <v>0</v>
      </c>
      <c r="V14" t="s">
        <v>303</v>
      </c>
      <c r="W14" t="s">
        <v>303</v>
      </c>
      <c r="X14" t="s">
        <v>311</v>
      </c>
      <c r="Y14" t="s">
        <v>305</v>
      </c>
      <c r="AC14" t="s">
        <v>237</v>
      </c>
      <c r="AD14" t="s">
        <v>333</v>
      </c>
      <c r="AE14" t="s">
        <v>278</v>
      </c>
      <c r="AF14" t="s">
        <v>321</v>
      </c>
      <c r="AG14" t="s">
        <v>237</v>
      </c>
      <c r="AH14" t="s">
        <v>333</v>
      </c>
      <c r="AI14" t="s">
        <v>278</v>
      </c>
      <c r="AJ14" t="s">
        <v>321</v>
      </c>
      <c r="AU14" t="s">
        <v>359</v>
      </c>
    </row>
    <row r="15" spans="1:47" x14ac:dyDescent="0.2">
      <c r="A15" s="1">
        <v>108013</v>
      </c>
      <c r="B15" t="s">
        <v>37</v>
      </c>
      <c r="C15">
        <v>1</v>
      </c>
      <c r="D15">
        <v>2</v>
      </c>
      <c r="E15">
        <v>6</v>
      </c>
      <c r="F15">
        <v>0</v>
      </c>
      <c r="J15" t="s">
        <v>291</v>
      </c>
      <c r="K15" t="s">
        <v>291</v>
      </c>
      <c r="L15" t="s">
        <v>237</v>
      </c>
      <c r="M15" t="s">
        <v>237</v>
      </c>
      <c r="P15" t="s">
        <v>291</v>
      </c>
      <c r="Q15" t="s">
        <v>291</v>
      </c>
      <c r="R15" t="s">
        <v>250</v>
      </c>
      <c r="S15" t="s">
        <v>250</v>
      </c>
      <c r="T15" t="s">
        <v>419</v>
      </c>
      <c r="U15" t="s">
        <v>427</v>
      </c>
      <c r="AA15" t="s">
        <v>304</v>
      </c>
      <c r="AB15" t="s">
        <v>265</v>
      </c>
      <c r="AU15" t="s">
        <v>360</v>
      </c>
    </row>
    <row r="16" spans="1:47" x14ac:dyDescent="0.2">
      <c r="A16" s="1">
        <v>108014</v>
      </c>
      <c r="B16" t="s">
        <v>30</v>
      </c>
      <c r="C16">
        <v>1</v>
      </c>
      <c r="D16">
        <v>2</v>
      </c>
      <c r="E16">
        <v>7</v>
      </c>
      <c r="F16">
        <v>0</v>
      </c>
      <c r="V16" t="s">
        <v>290</v>
      </c>
      <c r="W16" t="s">
        <v>290</v>
      </c>
      <c r="X16" t="s">
        <v>312</v>
      </c>
      <c r="Y16" t="s">
        <v>294</v>
      </c>
      <c r="AC16" t="s">
        <v>239</v>
      </c>
      <c r="AD16" t="s">
        <v>322</v>
      </c>
      <c r="AE16" t="s">
        <v>279</v>
      </c>
      <c r="AF16" t="s">
        <v>323</v>
      </c>
      <c r="AG16" t="s">
        <v>239</v>
      </c>
      <c r="AH16" t="s">
        <v>322</v>
      </c>
      <c r="AI16" t="s">
        <v>279</v>
      </c>
      <c r="AJ16" t="s">
        <v>323</v>
      </c>
      <c r="AU16" t="s">
        <v>361</v>
      </c>
    </row>
    <row r="17" spans="1:47" x14ac:dyDescent="0.2">
      <c r="A17" s="1">
        <v>108015</v>
      </c>
      <c r="B17" t="s">
        <v>38</v>
      </c>
      <c r="C17">
        <v>1</v>
      </c>
      <c r="D17">
        <v>3</v>
      </c>
      <c r="E17">
        <v>6</v>
      </c>
      <c r="F17">
        <v>0</v>
      </c>
      <c r="J17" t="s">
        <v>292</v>
      </c>
      <c r="K17" t="s">
        <v>292</v>
      </c>
      <c r="L17" t="s">
        <v>238</v>
      </c>
      <c r="M17" t="s">
        <v>238</v>
      </c>
      <c r="P17" t="s">
        <v>292</v>
      </c>
      <c r="Q17" t="s">
        <v>292</v>
      </c>
      <c r="R17" t="s">
        <v>237</v>
      </c>
      <c r="S17" t="s">
        <v>237</v>
      </c>
      <c r="T17" t="s">
        <v>281</v>
      </c>
      <c r="U17" t="s">
        <v>428</v>
      </c>
      <c r="AA17" t="s">
        <v>330</v>
      </c>
      <c r="AB17" t="s">
        <v>266</v>
      </c>
      <c r="AU17" t="s">
        <v>362</v>
      </c>
    </row>
    <row r="18" spans="1:47" x14ac:dyDescent="0.2">
      <c r="A18" s="1">
        <v>108016</v>
      </c>
      <c r="B18" t="s">
        <v>31</v>
      </c>
      <c r="C18">
        <v>1</v>
      </c>
      <c r="D18">
        <v>3</v>
      </c>
      <c r="E18">
        <v>7</v>
      </c>
      <c r="F18">
        <v>0</v>
      </c>
      <c r="V18" t="s">
        <v>304</v>
      </c>
      <c r="W18" t="s">
        <v>304</v>
      </c>
      <c r="X18" t="s">
        <v>313</v>
      </c>
      <c r="Y18" t="s">
        <v>321</v>
      </c>
      <c r="AC18" t="s">
        <v>241</v>
      </c>
      <c r="AD18" t="s">
        <v>334</v>
      </c>
      <c r="AE18" t="s">
        <v>280</v>
      </c>
      <c r="AF18" t="s">
        <v>343</v>
      </c>
      <c r="AG18" t="s">
        <v>241</v>
      </c>
      <c r="AH18" t="s">
        <v>334</v>
      </c>
      <c r="AI18" t="s">
        <v>280</v>
      </c>
      <c r="AJ18" t="s">
        <v>343</v>
      </c>
      <c r="AU18" t="s">
        <v>363</v>
      </c>
    </row>
    <row r="19" spans="1:47" x14ac:dyDescent="0.2">
      <c r="A19" s="1">
        <v>108017</v>
      </c>
      <c r="B19" t="s">
        <v>39</v>
      </c>
      <c r="C19">
        <v>1</v>
      </c>
      <c r="D19">
        <v>4</v>
      </c>
      <c r="E19">
        <v>6</v>
      </c>
      <c r="F19">
        <v>0</v>
      </c>
      <c r="J19" t="s">
        <v>293</v>
      </c>
      <c r="K19" t="s">
        <v>293</v>
      </c>
      <c r="L19" t="s">
        <v>239</v>
      </c>
      <c r="M19" t="s">
        <v>239</v>
      </c>
      <c r="P19" t="s">
        <v>293</v>
      </c>
      <c r="Q19" t="s">
        <v>293</v>
      </c>
      <c r="R19" t="s">
        <v>251</v>
      </c>
      <c r="S19" t="s">
        <v>251</v>
      </c>
      <c r="T19" t="s">
        <v>420</v>
      </c>
      <c r="U19" t="s">
        <v>429</v>
      </c>
      <c r="AA19" t="s">
        <v>292</v>
      </c>
      <c r="AB19" t="s">
        <v>267</v>
      </c>
      <c r="AU19" t="s">
        <v>364</v>
      </c>
    </row>
    <row r="20" spans="1:47" x14ac:dyDescent="0.2">
      <c r="A20" s="1">
        <v>108018</v>
      </c>
      <c r="B20" t="s">
        <v>32</v>
      </c>
      <c r="C20">
        <v>1</v>
      </c>
      <c r="D20">
        <v>4</v>
      </c>
      <c r="E20">
        <v>7</v>
      </c>
      <c r="F20">
        <v>0</v>
      </c>
      <c r="V20" t="s">
        <v>291</v>
      </c>
      <c r="W20" t="s">
        <v>291</v>
      </c>
      <c r="X20" t="s">
        <v>305</v>
      </c>
      <c r="Y20" t="s">
        <v>308</v>
      </c>
      <c r="AC20" t="s">
        <v>272</v>
      </c>
      <c r="AD20" t="s">
        <v>335</v>
      </c>
      <c r="AE20" t="s">
        <v>281</v>
      </c>
      <c r="AF20" t="s">
        <v>344</v>
      </c>
      <c r="AG20" t="s">
        <v>272</v>
      </c>
      <c r="AH20" t="s">
        <v>335</v>
      </c>
      <c r="AI20" t="s">
        <v>281</v>
      </c>
      <c r="AJ20" t="s">
        <v>344</v>
      </c>
      <c r="AU20" t="s">
        <v>365</v>
      </c>
    </row>
    <row r="21" spans="1:47" x14ac:dyDescent="0.2">
      <c r="A21" s="1">
        <v>108019</v>
      </c>
      <c r="B21" t="s">
        <v>40</v>
      </c>
      <c r="C21">
        <v>1</v>
      </c>
      <c r="D21">
        <v>5</v>
      </c>
      <c r="E21">
        <v>6</v>
      </c>
      <c r="F21">
        <v>0</v>
      </c>
      <c r="J21" t="s">
        <v>294</v>
      </c>
      <c r="K21" t="s">
        <v>294</v>
      </c>
      <c r="L21" t="s">
        <v>240</v>
      </c>
      <c r="M21" t="s">
        <v>240</v>
      </c>
      <c r="P21" t="s">
        <v>294</v>
      </c>
      <c r="Q21" t="s">
        <v>294</v>
      </c>
      <c r="R21" t="s">
        <v>252</v>
      </c>
      <c r="S21" t="s">
        <v>252</v>
      </c>
      <c r="T21" t="s">
        <v>249</v>
      </c>
      <c r="U21" t="s">
        <v>251</v>
      </c>
      <c r="AA21" t="s">
        <v>315</v>
      </c>
      <c r="AB21" t="s">
        <v>268</v>
      </c>
      <c r="AU21" t="s">
        <v>366</v>
      </c>
    </row>
    <row r="22" spans="1:47" x14ac:dyDescent="0.2">
      <c r="A22" s="1">
        <v>108020</v>
      </c>
      <c r="B22" t="s">
        <v>33</v>
      </c>
      <c r="C22">
        <v>1</v>
      </c>
      <c r="D22">
        <v>5</v>
      </c>
      <c r="E22">
        <v>7</v>
      </c>
      <c r="F22">
        <v>0</v>
      </c>
      <c r="V22" t="s">
        <v>305</v>
      </c>
      <c r="W22" t="s">
        <v>305</v>
      </c>
      <c r="X22" t="s">
        <v>314</v>
      </c>
      <c r="Y22" t="s">
        <v>322</v>
      </c>
      <c r="AC22" t="s">
        <v>264</v>
      </c>
      <c r="AD22" t="s">
        <v>336</v>
      </c>
      <c r="AE22" t="s">
        <v>282</v>
      </c>
      <c r="AF22" t="s">
        <v>345</v>
      </c>
      <c r="AG22" t="s">
        <v>264</v>
      </c>
      <c r="AH22" t="s">
        <v>336</v>
      </c>
      <c r="AI22" t="s">
        <v>282</v>
      </c>
      <c r="AJ22" t="s">
        <v>345</v>
      </c>
      <c r="AU22" t="s">
        <v>367</v>
      </c>
    </row>
    <row r="23" spans="1:47" x14ac:dyDescent="0.2">
      <c r="A23" s="1">
        <v>108021</v>
      </c>
      <c r="B23" t="s">
        <v>230</v>
      </c>
      <c r="C23">
        <v>1</v>
      </c>
      <c r="D23">
        <v>6</v>
      </c>
      <c r="E23">
        <v>6</v>
      </c>
      <c r="F23">
        <v>0</v>
      </c>
      <c r="J23" t="s">
        <v>295</v>
      </c>
      <c r="K23" t="s">
        <v>295</v>
      </c>
      <c r="L23" t="s">
        <v>241</v>
      </c>
      <c r="M23" t="s">
        <v>241</v>
      </c>
      <c r="P23" t="s">
        <v>295</v>
      </c>
      <c r="Q23" t="s">
        <v>295</v>
      </c>
      <c r="R23" t="s">
        <v>239</v>
      </c>
      <c r="S23" t="s">
        <v>239</v>
      </c>
      <c r="T23" t="s">
        <v>421</v>
      </c>
      <c r="U23" t="s">
        <v>430</v>
      </c>
      <c r="AA23" t="s">
        <v>331</v>
      </c>
      <c r="AB23" t="s">
        <v>269</v>
      </c>
      <c r="AU23" t="s">
        <v>368</v>
      </c>
    </row>
    <row r="24" spans="1:47" x14ac:dyDescent="0.2">
      <c r="A24" s="1">
        <v>108022</v>
      </c>
      <c r="B24" t="s">
        <v>41</v>
      </c>
      <c r="C24">
        <v>1</v>
      </c>
      <c r="D24">
        <v>6</v>
      </c>
      <c r="E24">
        <v>6</v>
      </c>
      <c r="F24">
        <v>0</v>
      </c>
      <c r="J24" t="s">
        <v>295</v>
      </c>
      <c r="K24" t="s">
        <v>295</v>
      </c>
      <c r="L24" t="s">
        <v>241</v>
      </c>
      <c r="M24" t="s">
        <v>241</v>
      </c>
      <c r="P24" t="s">
        <v>295</v>
      </c>
      <c r="Q24" t="s">
        <v>295</v>
      </c>
      <c r="R24" t="s">
        <v>239</v>
      </c>
      <c r="S24" t="s">
        <v>239</v>
      </c>
      <c r="T24" t="s">
        <v>421</v>
      </c>
      <c r="U24" t="s">
        <v>430</v>
      </c>
      <c r="AA24" t="s">
        <v>331</v>
      </c>
      <c r="AB24" t="s">
        <v>269</v>
      </c>
      <c r="AU24" t="s">
        <v>369</v>
      </c>
    </row>
    <row r="25" spans="1:47" x14ac:dyDescent="0.2">
      <c r="A25" s="1">
        <v>108023</v>
      </c>
      <c r="B25" t="s">
        <v>34</v>
      </c>
      <c r="C25">
        <v>1</v>
      </c>
      <c r="D25">
        <v>6</v>
      </c>
      <c r="E25">
        <v>7</v>
      </c>
      <c r="F25">
        <v>0</v>
      </c>
      <c r="V25" t="s">
        <v>292</v>
      </c>
      <c r="W25" t="s">
        <v>292</v>
      </c>
      <c r="X25" t="s">
        <v>315</v>
      </c>
      <c r="Y25" t="s">
        <v>323</v>
      </c>
      <c r="AC25" t="s">
        <v>273</v>
      </c>
      <c r="AD25" t="s">
        <v>337</v>
      </c>
      <c r="AE25" t="s">
        <v>283</v>
      </c>
      <c r="AF25" t="s">
        <v>337</v>
      </c>
      <c r="AG25" t="s">
        <v>273</v>
      </c>
      <c r="AH25" t="s">
        <v>345</v>
      </c>
      <c r="AI25" t="s">
        <v>283</v>
      </c>
      <c r="AJ25" t="s">
        <v>337</v>
      </c>
      <c r="AU25" t="s">
        <v>370</v>
      </c>
    </row>
    <row r="26" spans="1:47" x14ac:dyDescent="0.2">
      <c r="A26" s="1">
        <v>108024</v>
      </c>
      <c r="B26" t="s">
        <v>42</v>
      </c>
      <c r="C26">
        <v>1</v>
      </c>
      <c r="D26">
        <v>7</v>
      </c>
      <c r="E26">
        <v>6</v>
      </c>
      <c r="F26">
        <v>0</v>
      </c>
      <c r="J26" t="s">
        <v>296</v>
      </c>
      <c r="K26" t="s">
        <v>296</v>
      </c>
      <c r="L26" t="s">
        <v>242</v>
      </c>
      <c r="M26" t="s">
        <v>242</v>
      </c>
      <c r="P26" t="s">
        <v>296</v>
      </c>
      <c r="Q26" t="s">
        <v>296</v>
      </c>
      <c r="R26" t="s">
        <v>253</v>
      </c>
      <c r="S26" t="s">
        <v>253</v>
      </c>
      <c r="T26" t="s">
        <v>422</v>
      </c>
      <c r="U26" t="s">
        <v>431</v>
      </c>
      <c r="AA26" t="s">
        <v>332</v>
      </c>
      <c r="AB26" t="s">
        <v>270</v>
      </c>
      <c r="AU26" t="s">
        <v>371</v>
      </c>
    </row>
    <row r="27" spans="1:47" x14ac:dyDescent="0.2">
      <c r="A27" s="1">
        <v>108025</v>
      </c>
      <c r="B27" t="s">
        <v>35</v>
      </c>
      <c r="C27">
        <v>1</v>
      </c>
      <c r="D27">
        <v>7</v>
      </c>
      <c r="E27">
        <v>7</v>
      </c>
      <c r="F27">
        <v>0</v>
      </c>
      <c r="V27" t="s">
        <v>306</v>
      </c>
      <c r="W27" t="s">
        <v>306</v>
      </c>
      <c r="X27" t="s">
        <v>316</v>
      </c>
      <c r="Y27" t="s">
        <v>324</v>
      </c>
      <c r="AC27" t="s">
        <v>274</v>
      </c>
      <c r="AD27" t="s">
        <v>338</v>
      </c>
      <c r="AE27" t="s">
        <v>284</v>
      </c>
      <c r="AF27" t="s">
        <v>346</v>
      </c>
      <c r="AG27" t="s">
        <v>274</v>
      </c>
      <c r="AH27" t="s">
        <v>338</v>
      </c>
      <c r="AI27" t="s">
        <v>284</v>
      </c>
      <c r="AJ27" t="s">
        <v>346</v>
      </c>
      <c r="AU27" t="s">
        <v>372</v>
      </c>
    </row>
    <row r="28" spans="1:47" x14ac:dyDescent="0.2">
      <c r="A28" s="1">
        <v>108026</v>
      </c>
      <c r="B28" t="s">
        <v>57</v>
      </c>
      <c r="C28">
        <v>2</v>
      </c>
      <c r="D28">
        <v>1</v>
      </c>
      <c r="E28">
        <v>0</v>
      </c>
      <c r="F28">
        <v>0</v>
      </c>
      <c r="J28" t="s">
        <v>290</v>
      </c>
      <c r="K28" t="s">
        <v>290</v>
      </c>
      <c r="L28" t="s">
        <v>236</v>
      </c>
      <c r="M28" t="s">
        <v>236</v>
      </c>
      <c r="AU28" t="s">
        <v>373</v>
      </c>
    </row>
    <row r="29" spans="1:47" x14ac:dyDescent="0.2">
      <c r="A29" s="1">
        <v>108027</v>
      </c>
      <c r="B29" t="s">
        <v>43</v>
      </c>
      <c r="C29">
        <v>2</v>
      </c>
      <c r="D29">
        <v>1</v>
      </c>
      <c r="E29">
        <v>1</v>
      </c>
      <c r="F29">
        <v>0</v>
      </c>
      <c r="P29" t="s">
        <v>290</v>
      </c>
      <c r="Q29" t="s">
        <v>290</v>
      </c>
      <c r="R29" t="s">
        <v>249</v>
      </c>
      <c r="S29" t="s">
        <v>249</v>
      </c>
      <c r="AU29" t="s">
        <v>374</v>
      </c>
    </row>
    <row r="30" spans="1:47" x14ac:dyDescent="0.2">
      <c r="A30" s="1">
        <v>108028</v>
      </c>
      <c r="B30" t="s">
        <v>50</v>
      </c>
      <c r="C30">
        <v>2</v>
      </c>
      <c r="D30">
        <v>1</v>
      </c>
      <c r="E30">
        <v>2</v>
      </c>
      <c r="F30">
        <v>0</v>
      </c>
      <c r="T30" t="s">
        <v>418</v>
      </c>
      <c r="U30" t="s">
        <v>420</v>
      </c>
      <c r="AA30" t="s">
        <v>329</v>
      </c>
      <c r="AB30" t="s">
        <v>264</v>
      </c>
      <c r="AU30" t="s">
        <v>375</v>
      </c>
    </row>
    <row r="31" spans="1:47" x14ac:dyDescent="0.2">
      <c r="A31" s="1">
        <v>108029</v>
      </c>
      <c r="B31" t="s">
        <v>58</v>
      </c>
      <c r="C31">
        <v>2</v>
      </c>
      <c r="D31">
        <v>2</v>
      </c>
      <c r="E31">
        <v>0</v>
      </c>
      <c r="F31">
        <v>0</v>
      </c>
      <c r="J31" t="s">
        <v>291</v>
      </c>
      <c r="K31" t="s">
        <v>291</v>
      </c>
      <c r="L31" t="s">
        <v>237</v>
      </c>
      <c r="M31" t="s">
        <v>237</v>
      </c>
      <c r="AU31" t="s">
        <v>376</v>
      </c>
    </row>
    <row r="32" spans="1:47" x14ac:dyDescent="0.2">
      <c r="A32" s="1">
        <v>108030</v>
      </c>
      <c r="B32" t="s">
        <v>44</v>
      </c>
      <c r="C32">
        <v>2</v>
      </c>
      <c r="D32">
        <v>2</v>
      </c>
      <c r="E32">
        <v>1</v>
      </c>
      <c r="F32">
        <v>0</v>
      </c>
      <c r="P32" t="s">
        <v>291</v>
      </c>
      <c r="Q32" t="s">
        <v>291</v>
      </c>
      <c r="R32" t="s">
        <v>250</v>
      </c>
      <c r="S32" t="s">
        <v>250</v>
      </c>
      <c r="AU32" t="s">
        <v>377</v>
      </c>
    </row>
    <row r="33" spans="1:47" x14ac:dyDescent="0.2">
      <c r="A33" s="1">
        <v>108031</v>
      </c>
      <c r="B33" t="s">
        <v>51</v>
      </c>
      <c r="C33">
        <v>2</v>
      </c>
      <c r="D33">
        <v>2</v>
      </c>
      <c r="E33">
        <v>2</v>
      </c>
      <c r="F33">
        <v>0</v>
      </c>
      <c r="T33" t="s">
        <v>419</v>
      </c>
      <c r="U33" t="s">
        <v>427</v>
      </c>
      <c r="AA33" t="s">
        <v>304</v>
      </c>
      <c r="AB33" t="s">
        <v>265</v>
      </c>
      <c r="AU33" t="s">
        <v>378</v>
      </c>
    </row>
    <row r="34" spans="1:47" x14ac:dyDescent="0.2">
      <c r="A34" s="1">
        <v>108032</v>
      </c>
      <c r="B34" t="s">
        <v>59</v>
      </c>
      <c r="C34">
        <v>2</v>
      </c>
      <c r="D34">
        <v>3</v>
      </c>
      <c r="E34">
        <v>0</v>
      </c>
      <c r="F34">
        <v>0</v>
      </c>
      <c r="J34" t="s">
        <v>292</v>
      </c>
      <c r="K34" t="s">
        <v>292</v>
      </c>
      <c r="L34" t="s">
        <v>238</v>
      </c>
      <c r="M34" t="s">
        <v>238</v>
      </c>
      <c r="AU34" t="s">
        <v>379</v>
      </c>
    </row>
    <row r="35" spans="1:47" x14ac:dyDescent="0.2">
      <c r="A35" s="1">
        <v>108033</v>
      </c>
      <c r="B35" t="s">
        <v>45</v>
      </c>
      <c r="C35">
        <v>2</v>
      </c>
      <c r="D35">
        <v>3</v>
      </c>
      <c r="E35">
        <v>1</v>
      </c>
      <c r="F35">
        <v>0</v>
      </c>
      <c r="P35" t="s">
        <v>292</v>
      </c>
      <c r="Q35" t="s">
        <v>292</v>
      </c>
      <c r="R35" t="s">
        <v>237</v>
      </c>
      <c r="S35" t="s">
        <v>237</v>
      </c>
      <c r="AU35" t="s">
        <v>380</v>
      </c>
    </row>
    <row r="36" spans="1:47" x14ac:dyDescent="0.2">
      <c r="A36" s="1">
        <v>108034</v>
      </c>
      <c r="B36" t="s">
        <v>52</v>
      </c>
      <c r="C36">
        <v>2</v>
      </c>
      <c r="D36">
        <v>3</v>
      </c>
      <c r="E36">
        <v>2</v>
      </c>
      <c r="F36">
        <v>0</v>
      </c>
      <c r="T36" t="s">
        <v>281</v>
      </c>
      <c r="U36" t="s">
        <v>428</v>
      </c>
      <c r="AA36" t="s">
        <v>330</v>
      </c>
      <c r="AB36" t="s">
        <v>266</v>
      </c>
      <c r="AU36" t="s">
        <v>381</v>
      </c>
    </row>
    <row r="37" spans="1:47" x14ac:dyDescent="0.2">
      <c r="A37" s="1">
        <v>108035</v>
      </c>
      <c r="B37" t="s">
        <v>60</v>
      </c>
      <c r="C37">
        <v>2</v>
      </c>
      <c r="D37">
        <v>4</v>
      </c>
      <c r="E37">
        <v>0</v>
      </c>
      <c r="F37">
        <v>0</v>
      </c>
      <c r="J37" t="s">
        <v>293</v>
      </c>
      <c r="K37" t="s">
        <v>293</v>
      </c>
      <c r="L37" t="s">
        <v>239</v>
      </c>
      <c r="M37" t="s">
        <v>239</v>
      </c>
      <c r="AU37" t="s">
        <v>382</v>
      </c>
    </row>
    <row r="38" spans="1:47" x14ac:dyDescent="0.2">
      <c r="A38" s="1">
        <v>108036</v>
      </c>
      <c r="B38" t="s">
        <v>46</v>
      </c>
      <c r="C38">
        <v>2</v>
      </c>
      <c r="D38">
        <v>4</v>
      </c>
      <c r="E38">
        <v>1</v>
      </c>
      <c r="F38">
        <v>0</v>
      </c>
      <c r="P38" t="s">
        <v>293</v>
      </c>
      <c r="Q38" t="s">
        <v>293</v>
      </c>
      <c r="R38" t="s">
        <v>251</v>
      </c>
      <c r="S38" t="s">
        <v>251</v>
      </c>
      <c r="AU38" t="s">
        <v>383</v>
      </c>
    </row>
    <row r="39" spans="1:47" x14ac:dyDescent="0.2">
      <c r="A39" s="1">
        <v>108037</v>
      </c>
      <c r="B39" t="s">
        <v>53</v>
      </c>
      <c r="C39">
        <v>2</v>
      </c>
      <c r="D39">
        <v>4</v>
      </c>
      <c r="E39">
        <v>2</v>
      </c>
      <c r="F39">
        <v>0</v>
      </c>
      <c r="T39" t="s">
        <v>420</v>
      </c>
      <c r="U39" t="s">
        <v>429</v>
      </c>
      <c r="AA39" t="s">
        <v>292</v>
      </c>
      <c r="AB39" t="s">
        <v>267</v>
      </c>
      <c r="AU39" t="s">
        <v>384</v>
      </c>
    </row>
    <row r="40" spans="1:47" x14ac:dyDescent="0.2">
      <c r="A40" s="1">
        <v>108038</v>
      </c>
      <c r="B40" t="s">
        <v>61</v>
      </c>
      <c r="C40">
        <v>2</v>
      </c>
      <c r="D40">
        <v>5</v>
      </c>
      <c r="E40">
        <v>0</v>
      </c>
      <c r="F40">
        <v>0</v>
      </c>
      <c r="J40" t="s">
        <v>294</v>
      </c>
      <c r="K40" t="s">
        <v>294</v>
      </c>
      <c r="L40" t="s">
        <v>240</v>
      </c>
      <c r="M40" t="s">
        <v>240</v>
      </c>
      <c r="AU40" t="s">
        <v>385</v>
      </c>
    </row>
    <row r="41" spans="1:47" x14ac:dyDescent="0.2">
      <c r="A41" s="1">
        <v>108039</v>
      </c>
      <c r="B41" t="s">
        <v>47</v>
      </c>
      <c r="C41">
        <v>2</v>
      </c>
      <c r="D41">
        <v>5</v>
      </c>
      <c r="E41">
        <v>1</v>
      </c>
      <c r="F41">
        <v>0</v>
      </c>
      <c r="P41" t="s">
        <v>294</v>
      </c>
      <c r="Q41" t="s">
        <v>294</v>
      </c>
      <c r="R41" t="s">
        <v>252</v>
      </c>
      <c r="S41" t="s">
        <v>252</v>
      </c>
      <c r="AU41" t="s">
        <v>386</v>
      </c>
    </row>
    <row r="42" spans="1:47" x14ac:dyDescent="0.2">
      <c r="A42" s="1">
        <v>108040</v>
      </c>
      <c r="B42" t="s">
        <v>54</v>
      </c>
      <c r="C42">
        <v>2</v>
      </c>
      <c r="D42">
        <v>5</v>
      </c>
      <c r="E42">
        <v>2</v>
      </c>
      <c r="F42">
        <v>0</v>
      </c>
      <c r="T42" t="s">
        <v>249</v>
      </c>
      <c r="U42" t="s">
        <v>251</v>
      </c>
      <c r="AA42" t="s">
        <v>315</v>
      </c>
      <c r="AB42" t="s">
        <v>268</v>
      </c>
      <c r="AU42" t="s">
        <v>387</v>
      </c>
    </row>
    <row r="43" spans="1:47" x14ac:dyDescent="0.2">
      <c r="A43" s="1">
        <v>108041</v>
      </c>
      <c r="B43" t="s">
        <v>62</v>
      </c>
      <c r="C43">
        <v>2</v>
      </c>
      <c r="D43">
        <v>6</v>
      </c>
      <c r="E43">
        <v>0</v>
      </c>
      <c r="F43">
        <v>0</v>
      </c>
      <c r="J43" t="s">
        <v>295</v>
      </c>
      <c r="K43" t="s">
        <v>295</v>
      </c>
      <c r="L43" t="s">
        <v>241</v>
      </c>
      <c r="M43" t="s">
        <v>241</v>
      </c>
      <c r="AU43" t="s">
        <v>388</v>
      </c>
    </row>
    <row r="44" spans="1:47" x14ac:dyDescent="0.2">
      <c r="A44" s="1">
        <v>108042</v>
      </c>
      <c r="B44" t="s">
        <v>48</v>
      </c>
      <c r="C44">
        <v>2</v>
      </c>
      <c r="D44">
        <v>6</v>
      </c>
      <c r="E44">
        <v>1</v>
      </c>
      <c r="F44">
        <v>0</v>
      </c>
      <c r="P44" t="s">
        <v>295</v>
      </c>
      <c r="Q44" t="s">
        <v>295</v>
      </c>
      <c r="R44" t="s">
        <v>239</v>
      </c>
      <c r="S44" t="s">
        <v>239</v>
      </c>
      <c r="AU44" t="s">
        <v>389</v>
      </c>
    </row>
    <row r="45" spans="1:47" x14ac:dyDescent="0.2">
      <c r="A45" s="1">
        <v>108043</v>
      </c>
      <c r="B45" t="s">
        <v>55</v>
      </c>
      <c r="C45">
        <v>2</v>
      </c>
      <c r="D45">
        <v>6</v>
      </c>
      <c r="E45">
        <v>2</v>
      </c>
      <c r="F45">
        <v>0</v>
      </c>
      <c r="T45" t="s">
        <v>421</v>
      </c>
      <c r="U45" t="s">
        <v>430</v>
      </c>
      <c r="AA45" t="s">
        <v>331</v>
      </c>
      <c r="AB45" t="s">
        <v>269</v>
      </c>
      <c r="AU45" t="s">
        <v>390</v>
      </c>
    </row>
    <row r="46" spans="1:47" x14ac:dyDescent="0.2">
      <c r="A46" s="1">
        <v>108044</v>
      </c>
      <c r="B46" t="s">
        <v>63</v>
      </c>
      <c r="C46">
        <v>2</v>
      </c>
      <c r="D46">
        <v>7</v>
      </c>
      <c r="E46">
        <v>0</v>
      </c>
      <c r="F46">
        <v>0</v>
      </c>
      <c r="J46" t="s">
        <v>297</v>
      </c>
      <c r="K46" t="s">
        <v>296</v>
      </c>
      <c r="L46" t="s">
        <v>242</v>
      </c>
      <c r="M46" t="s">
        <v>242</v>
      </c>
      <c r="AU46" t="s">
        <v>391</v>
      </c>
    </row>
    <row r="47" spans="1:47" x14ac:dyDescent="0.2">
      <c r="A47" s="1">
        <v>108045</v>
      </c>
      <c r="B47" t="s">
        <v>49</v>
      </c>
      <c r="C47">
        <v>2</v>
      </c>
      <c r="D47">
        <v>7</v>
      </c>
      <c r="E47">
        <v>1</v>
      </c>
      <c r="F47">
        <v>0</v>
      </c>
      <c r="P47" t="s">
        <v>296</v>
      </c>
      <c r="Q47" t="s">
        <v>296</v>
      </c>
      <c r="R47" t="s">
        <v>253</v>
      </c>
      <c r="S47" t="s">
        <v>253</v>
      </c>
      <c r="AU47" t="s">
        <v>392</v>
      </c>
    </row>
    <row r="48" spans="1:47" x14ac:dyDescent="0.2">
      <c r="A48" s="1">
        <v>108046</v>
      </c>
      <c r="B48" t="s">
        <v>56</v>
      </c>
      <c r="C48">
        <v>2</v>
      </c>
      <c r="D48">
        <v>7</v>
      </c>
      <c r="E48">
        <v>2</v>
      </c>
      <c r="F48">
        <v>0</v>
      </c>
      <c r="T48" t="s">
        <v>422</v>
      </c>
      <c r="U48" t="s">
        <v>431</v>
      </c>
      <c r="AA48" t="s">
        <v>332</v>
      </c>
      <c r="AB48" t="s">
        <v>270</v>
      </c>
      <c r="AU48" t="s">
        <v>393</v>
      </c>
    </row>
    <row r="49" spans="1:47" x14ac:dyDescent="0.2">
      <c r="A49" s="1">
        <v>108047</v>
      </c>
      <c r="B49" t="s">
        <v>79</v>
      </c>
      <c r="C49">
        <v>3</v>
      </c>
      <c r="D49">
        <v>1</v>
      </c>
      <c r="E49">
        <v>3</v>
      </c>
      <c r="F49">
        <v>0</v>
      </c>
      <c r="AE49" t="s">
        <v>278</v>
      </c>
      <c r="AF49" t="s">
        <v>321</v>
      </c>
      <c r="AI49" t="s">
        <v>278</v>
      </c>
      <c r="AJ49" t="s">
        <v>321</v>
      </c>
      <c r="AU49" t="s">
        <v>394</v>
      </c>
    </row>
    <row r="50" spans="1:47" x14ac:dyDescent="0.2">
      <c r="A50" s="1">
        <v>108048</v>
      </c>
      <c r="B50" t="s">
        <v>71</v>
      </c>
      <c r="C50">
        <v>3</v>
      </c>
      <c r="D50">
        <v>1</v>
      </c>
      <c r="E50">
        <v>4</v>
      </c>
      <c r="F50">
        <v>0</v>
      </c>
      <c r="V50" t="s">
        <v>303</v>
      </c>
      <c r="W50" t="s">
        <v>303</v>
      </c>
      <c r="X50" t="s">
        <v>311</v>
      </c>
      <c r="Y50" t="s">
        <v>305</v>
      </c>
      <c r="AU50" t="s">
        <v>395</v>
      </c>
    </row>
    <row r="51" spans="1:47" x14ac:dyDescent="0.2">
      <c r="A51" s="1">
        <v>108049</v>
      </c>
      <c r="B51" t="s">
        <v>64</v>
      </c>
      <c r="C51">
        <v>3</v>
      </c>
      <c r="D51">
        <v>1</v>
      </c>
      <c r="E51">
        <v>5</v>
      </c>
      <c r="F51">
        <v>0</v>
      </c>
      <c r="AC51" t="s">
        <v>237</v>
      </c>
      <c r="AD51" t="s">
        <v>333</v>
      </c>
      <c r="AG51" t="s">
        <v>237</v>
      </c>
      <c r="AH51" t="s">
        <v>333</v>
      </c>
      <c r="AU51" t="s">
        <v>396</v>
      </c>
    </row>
    <row r="52" spans="1:47" x14ac:dyDescent="0.2">
      <c r="A52" s="1">
        <v>108050</v>
      </c>
      <c r="B52" t="s">
        <v>80</v>
      </c>
      <c r="C52">
        <v>3</v>
      </c>
      <c r="D52">
        <v>2</v>
      </c>
      <c r="E52">
        <v>3</v>
      </c>
      <c r="F52">
        <v>0</v>
      </c>
      <c r="AE52" t="s">
        <v>279</v>
      </c>
      <c r="AF52" t="s">
        <v>323</v>
      </c>
      <c r="AI52" t="s">
        <v>279</v>
      </c>
      <c r="AJ52" t="s">
        <v>323</v>
      </c>
      <c r="AU52" t="s">
        <v>397</v>
      </c>
    </row>
    <row r="53" spans="1:47" x14ac:dyDescent="0.2">
      <c r="A53" s="1">
        <v>108051</v>
      </c>
      <c r="B53" t="s">
        <v>72</v>
      </c>
      <c r="C53">
        <v>3</v>
      </c>
      <c r="D53">
        <v>2</v>
      </c>
      <c r="E53">
        <v>4</v>
      </c>
      <c r="F53">
        <v>0</v>
      </c>
      <c r="V53" t="s">
        <v>290</v>
      </c>
      <c r="W53" t="s">
        <v>290</v>
      </c>
      <c r="X53" t="s">
        <v>312</v>
      </c>
      <c r="Y53" t="s">
        <v>294</v>
      </c>
      <c r="AU53" t="s">
        <v>398</v>
      </c>
    </row>
    <row r="54" spans="1:47" x14ac:dyDescent="0.2">
      <c r="A54" s="1">
        <v>108052</v>
      </c>
      <c r="B54" t="s">
        <v>73</v>
      </c>
      <c r="C54">
        <v>3</v>
      </c>
      <c r="D54">
        <v>2</v>
      </c>
      <c r="E54">
        <v>4</v>
      </c>
      <c r="F54">
        <v>0</v>
      </c>
      <c r="V54" t="s">
        <v>290</v>
      </c>
      <c r="W54" t="s">
        <v>290</v>
      </c>
      <c r="X54" t="s">
        <v>312</v>
      </c>
      <c r="Y54" t="s">
        <v>294</v>
      </c>
      <c r="AU54" t="s">
        <v>399</v>
      </c>
    </row>
    <row r="55" spans="1:47" x14ac:dyDescent="0.2">
      <c r="A55" s="1">
        <v>108053</v>
      </c>
      <c r="B55" t="s">
        <v>65</v>
      </c>
      <c r="C55">
        <v>3</v>
      </c>
      <c r="D55">
        <v>2</v>
      </c>
      <c r="E55">
        <v>5</v>
      </c>
      <c r="F55">
        <v>0</v>
      </c>
      <c r="AC55" t="s">
        <v>239</v>
      </c>
      <c r="AD55" t="s">
        <v>322</v>
      </c>
      <c r="AG55" t="s">
        <v>239</v>
      </c>
      <c r="AH55" t="s">
        <v>322</v>
      </c>
      <c r="AU55" t="s">
        <v>400</v>
      </c>
    </row>
    <row r="56" spans="1:47" x14ac:dyDescent="0.2">
      <c r="A56" s="1">
        <v>108054</v>
      </c>
      <c r="B56" t="s">
        <v>81</v>
      </c>
      <c r="C56">
        <v>3</v>
      </c>
      <c r="D56">
        <v>3</v>
      </c>
      <c r="E56">
        <v>3</v>
      </c>
      <c r="F56">
        <v>0</v>
      </c>
      <c r="AE56" t="s">
        <v>280</v>
      </c>
      <c r="AF56" t="s">
        <v>343</v>
      </c>
      <c r="AI56" t="s">
        <v>280</v>
      </c>
      <c r="AJ56" t="s">
        <v>343</v>
      </c>
      <c r="AU56" t="s">
        <v>401</v>
      </c>
    </row>
    <row r="57" spans="1:47" x14ac:dyDescent="0.2">
      <c r="A57" s="1">
        <v>108055</v>
      </c>
      <c r="B57" t="s">
        <v>74</v>
      </c>
      <c r="C57">
        <v>3</v>
      </c>
      <c r="D57">
        <v>3</v>
      </c>
      <c r="E57">
        <v>4</v>
      </c>
      <c r="F57">
        <v>0</v>
      </c>
      <c r="V57" t="s">
        <v>304</v>
      </c>
      <c r="W57" t="s">
        <v>304</v>
      </c>
      <c r="X57" t="s">
        <v>313</v>
      </c>
      <c r="Y57" t="s">
        <v>321</v>
      </c>
      <c r="AU57" t="s">
        <v>402</v>
      </c>
    </row>
    <row r="58" spans="1:47" x14ac:dyDescent="0.2">
      <c r="A58" s="1">
        <v>108056</v>
      </c>
      <c r="B58" t="s">
        <v>66</v>
      </c>
      <c r="C58">
        <v>3</v>
      </c>
      <c r="D58">
        <v>3</v>
      </c>
      <c r="E58">
        <v>5</v>
      </c>
      <c r="F58">
        <v>0</v>
      </c>
      <c r="AC58" t="s">
        <v>241</v>
      </c>
      <c r="AD58" t="s">
        <v>334</v>
      </c>
      <c r="AG58" t="s">
        <v>241</v>
      </c>
      <c r="AH58" t="s">
        <v>334</v>
      </c>
      <c r="AU58" t="s">
        <v>403</v>
      </c>
    </row>
    <row r="59" spans="1:47" x14ac:dyDescent="0.2">
      <c r="A59" s="1">
        <v>108057</v>
      </c>
      <c r="B59" t="s">
        <v>82</v>
      </c>
      <c r="C59">
        <v>3</v>
      </c>
      <c r="D59">
        <v>4</v>
      </c>
      <c r="E59">
        <v>3</v>
      </c>
      <c r="F59">
        <v>0</v>
      </c>
      <c r="AE59" t="s">
        <v>281</v>
      </c>
      <c r="AF59" t="s">
        <v>344</v>
      </c>
      <c r="AI59" t="s">
        <v>281</v>
      </c>
      <c r="AJ59" t="s">
        <v>344</v>
      </c>
      <c r="AU59" t="s">
        <v>404</v>
      </c>
    </row>
    <row r="60" spans="1:47" x14ac:dyDescent="0.2">
      <c r="A60" s="1">
        <v>108058</v>
      </c>
      <c r="B60" t="s">
        <v>75</v>
      </c>
      <c r="C60">
        <v>3</v>
      </c>
      <c r="D60">
        <v>4</v>
      </c>
      <c r="E60">
        <v>4</v>
      </c>
      <c r="F60">
        <v>0</v>
      </c>
      <c r="V60" t="s">
        <v>291</v>
      </c>
      <c r="W60" t="s">
        <v>291</v>
      </c>
      <c r="X60" t="s">
        <v>305</v>
      </c>
      <c r="Y60" t="s">
        <v>308</v>
      </c>
      <c r="AU60" t="s">
        <v>405</v>
      </c>
    </row>
    <row r="61" spans="1:47" x14ac:dyDescent="0.2">
      <c r="A61" s="1">
        <v>108059</v>
      </c>
      <c r="B61" t="s">
        <v>67</v>
      </c>
      <c r="C61">
        <v>3</v>
      </c>
      <c r="D61">
        <v>4</v>
      </c>
      <c r="E61">
        <v>5</v>
      </c>
      <c r="F61">
        <v>0</v>
      </c>
      <c r="AC61" t="s">
        <v>272</v>
      </c>
      <c r="AD61" t="s">
        <v>335</v>
      </c>
      <c r="AG61" t="s">
        <v>272</v>
      </c>
      <c r="AH61" t="s">
        <v>335</v>
      </c>
      <c r="AU61" t="s">
        <v>406</v>
      </c>
    </row>
    <row r="62" spans="1:47" x14ac:dyDescent="0.2">
      <c r="A62" s="1">
        <v>108060</v>
      </c>
      <c r="B62" t="s">
        <v>83</v>
      </c>
      <c r="C62">
        <v>3</v>
      </c>
      <c r="D62">
        <v>5</v>
      </c>
      <c r="E62">
        <v>3</v>
      </c>
      <c r="F62">
        <v>0</v>
      </c>
      <c r="AE62" t="s">
        <v>282</v>
      </c>
      <c r="AF62" t="s">
        <v>345</v>
      </c>
      <c r="AI62" t="s">
        <v>282</v>
      </c>
      <c r="AJ62" t="s">
        <v>345</v>
      </c>
      <c r="AU62" t="s">
        <v>407</v>
      </c>
    </row>
    <row r="63" spans="1:47" x14ac:dyDescent="0.2">
      <c r="A63" s="1">
        <v>108061</v>
      </c>
      <c r="B63" t="s">
        <v>76</v>
      </c>
      <c r="C63">
        <v>3</v>
      </c>
      <c r="D63">
        <v>5</v>
      </c>
      <c r="E63">
        <v>4</v>
      </c>
      <c r="F63">
        <v>0</v>
      </c>
      <c r="V63" t="s">
        <v>305</v>
      </c>
      <c r="W63" t="s">
        <v>305</v>
      </c>
      <c r="X63" t="s">
        <v>314</v>
      </c>
      <c r="Y63" t="s">
        <v>322</v>
      </c>
      <c r="AU63" t="s">
        <v>408</v>
      </c>
    </row>
    <row r="64" spans="1:47" x14ac:dyDescent="0.2">
      <c r="A64" s="1">
        <v>108062</v>
      </c>
      <c r="B64" t="s">
        <v>68</v>
      </c>
      <c r="C64">
        <v>3</v>
      </c>
      <c r="D64">
        <v>5</v>
      </c>
      <c r="E64">
        <v>5</v>
      </c>
      <c r="F64">
        <v>0</v>
      </c>
      <c r="AC64" t="s">
        <v>264</v>
      </c>
      <c r="AD64" t="s">
        <v>336</v>
      </c>
      <c r="AG64" t="s">
        <v>264</v>
      </c>
      <c r="AH64" t="s">
        <v>336</v>
      </c>
      <c r="AU64" t="s">
        <v>409</v>
      </c>
    </row>
    <row r="65" spans="1:47" x14ac:dyDescent="0.2">
      <c r="A65" s="1">
        <v>108063</v>
      </c>
      <c r="B65" t="s">
        <v>84</v>
      </c>
      <c r="C65">
        <v>3</v>
      </c>
      <c r="D65">
        <v>6</v>
      </c>
      <c r="E65">
        <v>3</v>
      </c>
      <c r="F65">
        <v>0</v>
      </c>
      <c r="AE65" t="s">
        <v>283</v>
      </c>
      <c r="AF65" t="s">
        <v>337</v>
      </c>
      <c r="AI65" t="s">
        <v>283</v>
      </c>
      <c r="AJ65" t="s">
        <v>337</v>
      </c>
      <c r="AU65" t="s">
        <v>410</v>
      </c>
    </row>
    <row r="66" spans="1:47" x14ac:dyDescent="0.2">
      <c r="A66" s="1">
        <v>108064</v>
      </c>
      <c r="B66" t="s">
        <v>77</v>
      </c>
      <c r="C66">
        <v>3</v>
      </c>
      <c r="D66">
        <v>6</v>
      </c>
      <c r="E66">
        <v>4</v>
      </c>
      <c r="F66">
        <v>0</v>
      </c>
      <c r="V66" t="s">
        <v>292</v>
      </c>
      <c r="W66" t="s">
        <v>292</v>
      </c>
      <c r="X66" t="s">
        <v>315</v>
      </c>
      <c r="Y66" t="s">
        <v>323</v>
      </c>
      <c r="AU66" t="s">
        <v>411</v>
      </c>
    </row>
    <row r="67" spans="1:47" x14ac:dyDescent="0.2">
      <c r="A67" s="1">
        <v>108065</v>
      </c>
      <c r="B67" t="s">
        <v>69</v>
      </c>
      <c r="C67">
        <v>3</v>
      </c>
      <c r="D67">
        <v>6</v>
      </c>
      <c r="E67">
        <v>5</v>
      </c>
      <c r="F67">
        <v>0</v>
      </c>
      <c r="AC67" t="s">
        <v>273</v>
      </c>
      <c r="AD67" t="s">
        <v>337</v>
      </c>
      <c r="AG67" t="s">
        <v>273</v>
      </c>
      <c r="AH67" t="s">
        <v>345</v>
      </c>
      <c r="AU67" t="s">
        <v>412</v>
      </c>
    </row>
    <row r="68" spans="1:47" x14ac:dyDescent="0.2">
      <c r="A68" s="1">
        <v>108066</v>
      </c>
      <c r="B68" t="s">
        <v>85</v>
      </c>
      <c r="C68">
        <v>3</v>
      </c>
      <c r="D68">
        <v>7</v>
      </c>
      <c r="E68">
        <v>3</v>
      </c>
      <c r="F68">
        <v>0</v>
      </c>
      <c r="AE68" t="s">
        <v>284</v>
      </c>
      <c r="AF68" t="s">
        <v>346</v>
      </c>
      <c r="AI68" t="s">
        <v>284</v>
      </c>
      <c r="AJ68" t="s">
        <v>346</v>
      </c>
      <c r="AU68" t="s">
        <v>413</v>
      </c>
    </row>
    <row r="69" spans="1:47" x14ac:dyDescent="0.2">
      <c r="A69" s="1">
        <v>108067</v>
      </c>
      <c r="B69" t="s">
        <v>78</v>
      </c>
      <c r="C69">
        <v>3</v>
      </c>
      <c r="D69">
        <v>7</v>
      </c>
      <c r="E69">
        <v>4</v>
      </c>
      <c r="F69">
        <v>0</v>
      </c>
      <c r="V69" t="s">
        <v>306</v>
      </c>
      <c r="W69" t="s">
        <v>306</v>
      </c>
      <c r="X69" t="s">
        <v>316</v>
      </c>
      <c r="Y69" t="s">
        <v>324</v>
      </c>
      <c r="AU69" t="s">
        <v>414</v>
      </c>
    </row>
    <row r="70" spans="1:47" x14ac:dyDescent="0.2">
      <c r="A70" s="1">
        <v>108068</v>
      </c>
      <c r="B70" t="s">
        <v>70</v>
      </c>
      <c r="C70">
        <v>3</v>
      </c>
      <c r="D70">
        <v>7</v>
      </c>
      <c r="E70">
        <v>5</v>
      </c>
      <c r="F70">
        <v>0</v>
      </c>
      <c r="AC70" t="s">
        <v>274</v>
      </c>
      <c r="AD70" t="s">
        <v>338</v>
      </c>
      <c r="AG70" t="s">
        <v>274</v>
      </c>
      <c r="AH70" t="s">
        <v>338</v>
      </c>
      <c r="AU70" t="s">
        <v>415</v>
      </c>
    </row>
    <row r="71" spans="1:47" x14ac:dyDescent="0.2">
      <c r="A71" s="1">
        <v>108069</v>
      </c>
      <c r="B71" t="s">
        <v>112</v>
      </c>
      <c r="C71">
        <v>3</v>
      </c>
      <c r="D71">
        <v>2</v>
      </c>
      <c r="E71">
        <v>5</v>
      </c>
      <c r="F71">
        <v>1</v>
      </c>
      <c r="AC71" t="s">
        <v>254</v>
      </c>
      <c r="AD71" t="s">
        <v>327</v>
      </c>
      <c r="AG71" t="s">
        <v>254</v>
      </c>
      <c r="AH71" t="s">
        <v>327</v>
      </c>
      <c r="AU71" t="s">
        <v>149</v>
      </c>
    </row>
    <row r="72" spans="1:47" x14ac:dyDescent="0.2">
      <c r="A72" s="1">
        <v>108070</v>
      </c>
      <c r="B72" t="s">
        <v>113</v>
      </c>
      <c r="C72">
        <v>3</v>
      </c>
      <c r="D72">
        <v>3</v>
      </c>
      <c r="E72">
        <v>5</v>
      </c>
      <c r="F72">
        <v>1</v>
      </c>
      <c r="AC72" t="s">
        <v>243</v>
      </c>
      <c r="AD72" t="s">
        <v>339</v>
      </c>
      <c r="AG72" t="s">
        <v>243</v>
      </c>
      <c r="AH72" t="s">
        <v>339</v>
      </c>
      <c r="AU72" t="s">
        <v>150</v>
      </c>
    </row>
    <row r="73" spans="1:47" x14ac:dyDescent="0.2">
      <c r="A73" s="1">
        <v>108071</v>
      </c>
      <c r="B73" t="s">
        <v>114</v>
      </c>
      <c r="C73">
        <v>3</v>
      </c>
      <c r="D73">
        <v>4</v>
      </c>
      <c r="E73">
        <v>5</v>
      </c>
      <c r="F73">
        <v>1</v>
      </c>
      <c r="AC73" t="s">
        <v>275</v>
      </c>
      <c r="AD73" t="s">
        <v>340</v>
      </c>
      <c r="AG73" t="s">
        <v>275</v>
      </c>
      <c r="AH73" t="s">
        <v>340</v>
      </c>
      <c r="AU73" t="s">
        <v>151</v>
      </c>
    </row>
    <row r="74" spans="1:47" x14ac:dyDescent="0.2">
      <c r="A74" s="1">
        <v>108072</v>
      </c>
      <c r="B74" t="s">
        <v>115</v>
      </c>
      <c r="C74">
        <v>3</v>
      </c>
      <c r="D74">
        <v>5</v>
      </c>
      <c r="E74">
        <v>5</v>
      </c>
      <c r="F74">
        <v>1</v>
      </c>
      <c r="AC74" t="s">
        <v>276</v>
      </c>
      <c r="AD74" t="s">
        <v>341</v>
      </c>
      <c r="AG74" t="s">
        <v>276</v>
      </c>
      <c r="AH74" t="s">
        <v>341</v>
      </c>
      <c r="AU74" t="s">
        <v>152</v>
      </c>
    </row>
    <row r="75" spans="1:47" x14ac:dyDescent="0.2">
      <c r="A75" s="1">
        <v>108073</v>
      </c>
      <c r="B75" t="s">
        <v>116</v>
      </c>
      <c r="C75">
        <v>3</v>
      </c>
      <c r="D75">
        <v>6</v>
      </c>
      <c r="E75">
        <v>5</v>
      </c>
      <c r="F75">
        <v>1</v>
      </c>
      <c r="AC75" t="s">
        <v>277</v>
      </c>
      <c r="AD75" t="s">
        <v>342</v>
      </c>
      <c r="AG75" t="s">
        <v>277</v>
      </c>
      <c r="AH75" t="s">
        <v>349</v>
      </c>
      <c r="AU75" t="s">
        <v>153</v>
      </c>
    </row>
    <row r="76" spans="1:47" x14ac:dyDescent="0.2">
      <c r="A76" s="1">
        <v>108074</v>
      </c>
      <c r="B76" t="s">
        <v>117</v>
      </c>
      <c r="C76">
        <v>1</v>
      </c>
      <c r="D76">
        <v>2</v>
      </c>
      <c r="E76">
        <v>7</v>
      </c>
      <c r="F76">
        <v>1</v>
      </c>
      <c r="V76" t="s">
        <v>307</v>
      </c>
      <c r="W76" t="s">
        <v>307</v>
      </c>
      <c r="X76" t="s">
        <v>317</v>
      </c>
      <c r="Y76" t="s">
        <v>302</v>
      </c>
      <c r="AC76" t="s">
        <v>254</v>
      </c>
      <c r="AD76" t="s">
        <v>327</v>
      </c>
      <c r="AE76" t="s">
        <v>285</v>
      </c>
      <c r="AF76" t="s">
        <v>328</v>
      </c>
      <c r="AG76" t="s">
        <v>254</v>
      </c>
      <c r="AH76" t="s">
        <v>327</v>
      </c>
      <c r="AI76" t="s">
        <v>285</v>
      </c>
      <c r="AJ76" t="s">
        <v>328</v>
      </c>
      <c r="AU76" t="s">
        <v>154</v>
      </c>
    </row>
    <row r="77" spans="1:47" x14ac:dyDescent="0.2">
      <c r="A77" s="1">
        <v>108075</v>
      </c>
      <c r="B77" t="s">
        <v>118</v>
      </c>
      <c r="C77">
        <v>1</v>
      </c>
      <c r="D77">
        <v>3</v>
      </c>
      <c r="E77">
        <v>7</v>
      </c>
      <c r="F77">
        <v>1</v>
      </c>
      <c r="V77" t="s">
        <v>309</v>
      </c>
      <c r="W77" t="s">
        <v>309</v>
      </c>
      <c r="X77" t="s">
        <v>318</v>
      </c>
      <c r="Y77" t="s">
        <v>325</v>
      </c>
      <c r="AC77" t="s">
        <v>243</v>
      </c>
      <c r="AD77" t="s">
        <v>339</v>
      </c>
      <c r="AE77" t="s">
        <v>286</v>
      </c>
      <c r="AF77" t="s">
        <v>347</v>
      </c>
      <c r="AG77" t="s">
        <v>243</v>
      </c>
      <c r="AH77" t="s">
        <v>339</v>
      </c>
      <c r="AI77" t="s">
        <v>286</v>
      </c>
      <c r="AJ77" t="s">
        <v>347</v>
      </c>
      <c r="AU77" t="s">
        <v>155</v>
      </c>
    </row>
    <row r="78" spans="1:47" x14ac:dyDescent="0.2">
      <c r="A78" s="1">
        <v>108076</v>
      </c>
      <c r="B78" t="s">
        <v>119</v>
      </c>
      <c r="C78">
        <v>1</v>
      </c>
      <c r="D78">
        <v>4</v>
      </c>
      <c r="E78">
        <v>7</v>
      </c>
      <c r="F78">
        <v>1</v>
      </c>
      <c r="V78" t="s">
        <v>299</v>
      </c>
      <c r="W78" t="s">
        <v>299</v>
      </c>
      <c r="X78" t="s">
        <v>310</v>
      </c>
      <c r="Y78" t="s">
        <v>326</v>
      </c>
      <c r="AC78" t="s">
        <v>275</v>
      </c>
      <c r="AD78" t="s">
        <v>340</v>
      </c>
      <c r="AE78" t="s">
        <v>287</v>
      </c>
      <c r="AF78" t="s">
        <v>348</v>
      </c>
      <c r="AG78" t="s">
        <v>275</v>
      </c>
      <c r="AH78" t="s">
        <v>340</v>
      </c>
      <c r="AI78" t="s">
        <v>287</v>
      </c>
      <c r="AJ78" t="s">
        <v>348</v>
      </c>
      <c r="AU78" t="s">
        <v>156</v>
      </c>
    </row>
    <row r="79" spans="1:47" x14ac:dyDescent="0.2">
      <c r="A79" s="1">
        <v>108077</v>
      </c>
      <c r="B79" t="s">
        <v>120</v>
      </c>
      <c r="C79">
        <v>1</v>
      </c>
      <c r="D79">
        <v>5</v>
      </c>
      <c r="E79">
        <v>7</v>
      </c>
      <c r="F79">
        <v>1</v>
      </c>
      <c r="V79" t="s">
        <v>310</v>
      </c>
      <c r="W79" t="s">
        <v>310</v>
      </c>
      <c r="X79" t="s">
        <v>319</v>
      </c>
      <c r="Y79" t="s">
        <v>327</v>
      </c>
      <c r="AC79" t="s">
        <v>276</v>
      </c>
      <c r="AD79" t="s">
        <v>341</v>
      </c>
      <c r="AE79" t="s">
        <v>288</v>
      </c>
      <c r="AF79" t="s">
        <v>349</v>
      </c>
      <c r="AG79" t="s">
        <v>276</v>
      </c>
      <c r="AH79" t="s">
        <v>341</v>
      </c>
      <c r="AI79" t="s">
        <v>288</v>
      </c>
      <c r="AJ79" t="s">
        <v>349</v>
      </c>
      <c r="AU79" t="s">
        <v>157</v>
      </c>
    </row>
    <row r="80" spans="1:47" x14ac:dyDescent="0.2">
      <c r="A80" s="1">
        <v>108078</v>
      </c>
      <c r="B80" t="s">
        <v>121</v>
      </c>
      <c r="C80">
        <v>1</v>
      </c>
      <c r="D80">
        <v>6</v>
      </c>
      <c r="E80">
        <v>7</v>
      </c>
      <c r="F80">
        <v>1</v>
      </c>
      <c r="V80" t="s">
        <v>300</v>
      </c>
      <c r="W80" t="s">
        <v>300</v>
      </c>
      <c r="X80" t="s">
        <v>320</v>
      </c>
      <c r="Y80" t="s">
        <v>328</v>
      </c>
      <c r="AC80" t="s">
        <v>277</v>
      </c>
      <c r="AD80" t="s">
        <v>342</v>
      </c>
      <c r="AE80" t="s">
        <v>289</v>
      </c>
      <c r="AF80" t="s">
        <v>342</v>
      </c>
      <c r="AG80" t="s">
        <v>277</v>
      </c>
      <c r="AH80" t="s">
        <v>349</v>
      </c>
      <c r="AI80" t="s">
        <v>289</v>
      </c>
      <c r="AJ80" t="s">
        <v>342</v>
      </c>
      <c r="AU80" t="s">
        <v>158</v>
      </c>
    </row>
    <row r="81" spans="1:47" x14ac:dyDescent="0.2">
      <c r="A81" s="1">
        <v>108079</v>
      </c>
      <c r="B81" t="s">
        <v>122</v>
      </c>
      <c r="C81">
        <v>0</v>
      </c>
      <c r="D81">
        <v>1</v>
      </c>
      <c r="F81">
        <v>1</v>
      </c>
      <c r="AK81" t="s">
        <v>231</v>
      </c>
      <c r="AL81" t="s">
        <v>231</v>
      </c>
      <c r="AM81" t="s">
        <v>231</v>
      </c>
      <c r="AN81" t="s">
        <v>231</v>
      </c>
      <c r="AO81" t="s">
        <v>244</v>
      </c>
      <c r="AP81" t="s">
        <v>244</v>
      </c>
      <c r="AQ81" t="s">
        <v>244</v>
      </c>
      <c r="AR81" t="s">
        <v>244</v>
      </c>
      <c r="AS81" t="s">
        <v>259</v>
      </c>
      <c r="AT81" t="s">
        <v>259</v>
      </c>
      <c r="AU81" t="s">
        <v>159</v>
      </c>
    </row>
    <row r="82" spans="1:47" x14ac:dyDescent="0.2">
      <c r="A82" s="1">
        <v>108080</v>
      </c>
      <c r="B82" t="s">
        <v>123</v>
      </c>
      <c r="C82">
        <v>0</v>
      </c>
      <c r="D82">
        <v>2</v>
      </c>
      <c r="F82">
        <v>1</v>
      </c>
      <c r="AK82" t="s">
        <v>232</v>
      </c>
      <c r="AL82" t="s">
        <v>232</v>
      </c>
      <c r="AM82" t="s">
        <v>232</v>
      </c>
      <c r="AN82" t="s">
        <v>232</v>
      </c>
      <c r="AO82" t="s">
        <v>245</v>
      </c>
      <c r="AP82" t="s">
        <v>245</v>
      </c>
      <c r="AQ82" t="s">
        <v>245</v>
      </c>
      <c r="AR82" t="s">
        <v>245</v>
      </c>
      <c r="AS82" t="s">
        <v>260</v>
      </c>
      <c r="AT82" t="s">
        <v>260</v>
      </c>
      <c r="AU82" t="s">
        <v>160</v>
      </c>
    </row>
    <row r="83" spans="1:47" x14ac:dyDescent="0.2">
      <c r="A83" s="1">
        <v>108081</v>
      </c>
      <c r="B83" t="s">
        <v>124</v>
      </c>
      <c r="C83">
        <v>1</v>
      </c>
      <c r="D83">
        <v>6</v>
      </c>
      <c r="E83">
        <v>6</v>
      </c>
      <c r="F83">
        <v>2</v>
      </c>
      <c r="J83" t="s">
        <v>295</v>
      </c>
      <c r="K83" t="s">
        <v>298</v>
      </c>
      <c r="L83" t="s">
        <v>243</v>
      </c>
      <c r="M83" t="s">
        <v>243</v>
      </c>
      <c r="P83" t="s">
        <v>298</v>
      </c>
      <c r="Q83" t="s">
        <v>298</v>
      </c>
      <c r="R83" t="s">
        <v>254</v>
      </c>
      <c r="S83" t="s">
        <v>254</v>
      </c>
      <c r="T83" t="s">
        <v>423</v>
      </c>
      <c r="U83" t="s">
        <v>432</v>
      </c>
      <c r="AA83" t="s">
        <v>331</v>
      </c>
      <c r="AB83" t="s">
        <v>269</v>
      </c>
      <c r="AU83" t="s">
        <v>161</v>
      </c>
    </row>
    <row r="84" spans="1:47" x14ac:dyDescent="0.2">
      <c r="A84" s="1">
        <v>108082</v>
      </c>
      <c r="B84" t="s">
        <v>125</v>
      </c>
      <c r="C84">
        <v>1</v>
      </c>
      <c r="D84">
        <v>6</v>
      </c>
      <c r="E84">
        <v>6</v>
      </c>
      <c r="F84">
        <v>2</v>
      </c>
      <c r="J84" t="s">
        <v>298</v>
      </c>
      <c r="K84" t="s">
        <v>298</v>
      </c>
      <c r="L84" t="s">
        <v>243</v>
      </c>
      <c r="M84" t="s">
        <v>243</v>
      </c>
      <c r="P84" t="s">
        <v>298</v>
      </c>
      <c r="Q84" t="s">
        <v>298</v>
      </c>
      <c r="R84" t="s">
        <v>254</v>
      </c>
      <c r="S84" t="s">
        <v>254</v>
      </c>
      <c r="T84" t="s">
        <v>423</v>
      </c>
      <c r="U84" t="s">
        <v>432</v>
      </c>
      <c r="AA84" t="s">
        <v>331</v>
      </c>
      <c r="AB84" t="s">
        <v>269</v>
      </c>
      <c r="AU84" t="s">
        <v>162</v>
      </c>
    </row>
    <row r="85" spans="1:47" x14ac:dyDescent="0.2">
      <c r="A85" s="1">
        <v>108083</v>
      </c>
      <c r="B85" t="s">
        <v>126</v>
      </c>
      <c r="C85">
        <v>1</v>
      </c>
      <c r="D85">
        <v>6</v>
      </c>
      <c r="E85">
        <v>6</v>
      </c>
      <c r="F85">
        <v>2</v>
      </c>
      <c r="J85" t="s">
        <v>298</v>
      </c>
      <c r="K85" t="s">
        <v>298</v>
      </c>
      <c r="L85" t="s">
        <v>243</v>
      </c>
      <c r="M85" t="s">
        <v>243</v>
      </c>
      <c r="P85" t="s">
        <v>298</v>
      </c>
      <c r="Q85" t="s">
        <v>298</v>
      </c>
      <c r="R85" t="s">
        <v>254</v>
      </c>
      <c r="S85" t="s">
        <v>254</v>
      </c>
      <c r="T85" t="s">
        <v>423</v>
      </c>
      <c r="U85" t="s">
        <v>432</v>
      </c>
      <c r="AA85" t="s">
        <v>331</v>
      </c>
      <c r="AB85" t="s">
        <v>269</v>
      </c>
      <c r="AU85" t="s">
        <v>163</v>
      </c>
    </row>
    <row r="86" spans="1:47" x14ac:dyDescent="0.2">
      <c r="A86" s="1">
        <v>108084</v>
      </c>
      <c r="B86" t="s">
        <v>127</v>
      </c>
      <c r="C86">
        <v>1</v>
      </c>
      <c r="D86">
        <v>6</v>
      </c>
      <c r="E86">
        <v>6</v>
      </c>
      <c r="F86">
        <v>2</v>
      </c>
      <c r="J86" t="s">
        <v>298</v>
      </c>
      <c r="K86" t="s">
        <v>298</v>
      </c>
      <c r="L86" t="s">
        <v>243</v>
      </c>
      <c r="M86" t="s">
        <v>243</v>
      </c>
      <c r="P86" t="s">
        <v>298</v>
      </c>
      <c r="Q86" t="s">
        <v>298</v>
      </c>
      <c r="R86" t="s">
        <v>254</v>
      </c>
      <c r="S86" t="s">
        <v>254</v>
      </c>
      <c r="T86" t="s">
        <v>423</v>
      </c>
      <c r="U86" t="s">
        <v>432</v>
      </c>
      <c r="AA86" t="s">
        <v>331</v>
      </c>
      <c r="AB86" t="s">
        <v>269</v>
      </c>
      <c r="AU86" t="s">
        <v>164</v>
      </c>
    </row>
    <row r="87" spans="1:47" x14ac:dyDescent="0.2">
      <c r="A87" s="1">
        <v>108085</v>
      </c>
      <c r="B87" t="s">
        <v>128</v>
      </c>
      <c r="C87">
        <v>1</v>
      </c>
      <c r="D87">
        <v>6</v>
      </c>
      <c r="E87">
        <v>6</v>
      </c>
      <c r="F87">
        <v>2</v>
      </c>
      <c r="J87" t="s">
        <v>298</v>
      </c>
      <c r="K87" t="s">
        <v>298</v>
      </c>
      <c r="L87" t="s">
        <v>243</v>
      </c>
      <c r="M87" t="s">
        <v>243</v>
      </c>
      <c r="P87" t="s">
        <v>298</v>
      </c>
      <c r="Q87" t="s">
        <v>298</v>
      </c>
      <c r="R87" t="s">
        <v>254</v>
      </c>
      <c r="S87" t="s">
        <v>254</v>
      </c>
      <c r="T87" t="s">
        <v>423</v>
      </c>
      <c r="U87" t="s">
        <v>432</v>
      </c>
      <c r="AA87" t="s">
        <v>331</v>
      </c>
      <c r="AB87" t="s">
        <v>269</v>
      </c>
      <c r="AU87" t="s">
        <v>165</v>
      </c>
    </row>
    <row r="88" spans="1:47" x14ac:dyDescent="0.2">
      <c r="A88" s="1">
        <v>108086</v>
      </c>
      <c r="B88" t="s">
        <v>129</v>
      </c>
      <c r="C88">
        <v>3</v>
      </c>
      <c r="D88">
        <v>2</v>
      </c>
      <c r="E88">
        <v>4</v>
      </c>
      <c r="F88">
        <v>2</v>
      </c>
      <c r="V88" t="s">
        <v>307</v>
      </c>
      <c r="W88" t="s">
        <v>307</v>
      </c>
      <c r="X88" t="s">
        <v>317</v>
      </c>
      <c r="Y88" t="s">
        <v>302</v>
      </c>
      <c r="AU88" t="s">
        <v>166</v>
      </c>
    </row>
    <row r="89" spans="1:47" x14ac:dyDescent="0.2">
      <c r="A89" s="1">
        <v>108087</v>
      </c>
      <c r="B89" t="s">
        <v>130</v>
      </c>
      <c r="C89">
        <v>3</v>
      </c>
      <c r="D89">
        <v>3</v>
      </c>
      <c r="E89">
        <v>4</v>
      </c>
      <c r="F89">
        <v>2</v>
      </c>
      <c r="V89" t="s">
        <v>309</v>
      </c>
      <c r="W89" t="s">
        <v>309</v>
      </c>
      <c r="X89" t="s">
        <v>318</v>
      </c>
      <c r="Y89" t="s">
        <v>325</v>
      </c>
      <c r="AU89" t="s">
        <v>167</v>
      </c>
    </row>
    <row r="90" spans="1:47" x14ac:dyDescent="0.2">
      <c r="A90" s="1">
        <v>108088</v>
      </c>
      <c r="B90" t="s">
        <v>131</v>
      </c>
      <c r="C90">
        <v>3</v>
      </c>
      <c r="D90">
        <v>4</v>
      </c>
      <c r="E90">
        <v>4</v>
      </c>
      <c r="F90">
        <v>2</v>
      </c>
      <c r="V90" t="s">
        <v>299</v>
      </c>
      <c r="W90" t="s">
        <v>299</v>
      </c>
      <c r="X90" t="s">
        <v>310</v>
      </c>
      <c r="Y90" t="s">
        <v>326</v>
      </c>
      <c r="AU90" t="s">
        <v>168</v>
      </c>
    </row>
    <row r="91" spans="1:47" x14ac:dyDescent="0.2">
      <c r="A91" s="1">
        <v>108089</v>
      </c>
      <c r="B91" t="s">
        <v>132</v>
      </c>
      <c r="C91">
        <v>3</v>
      </c>
      <c r="D91">
        <v>5</v>
      </c>
      <c r="E91">
        <v>4</v>
      </c>
      <c r="F91">
        <v>2</v>
      </c>
      <c r="V91" t="s">
        <v>310</v>
      </c>
      <c r="W91" t="s">
        <v>310</v>
      </c>
      <c r="X91" t="s">
        <v>319</v>
      </c>
      <c r="Y91" t="s">
        <v>327</v>
      </c>
      <c r="AU91" t="s">
        <v>169</v>
      </c>
    </row>
    <row r="92" spans="1:47" x14ac:dyDescent="0.2">
      <c r="A92" s="1">
        <v>108090</v>
      </c>
      <c r="B92" t="s">
        <v>133</v>
      </c>
      <c r="C92">
        <v>3</v>
      </c>
      <c r="D92">
        <v>6</v>
      </c>
      <c r="E92">
        <v>4</v>
      </c>
      <c r="F92">
        <v>2</v>
      </c>
      <c r="V92" t="s">
        <v>300</v>
      </c>
      <c r="W92" t="s">
        <v>300</v>
      </c>
      <c r="X92" t="s">
        <v>320</v>
      </c>
      <c r="Y92" t="s">
        <v>328</v>
      </c>
      <c r="AU92" t="s">
        <v>170</v>
      </c>
    </row>
    <row r="93" spans="1:47" x14ac:dyDescent="0.2">
      <c r="A93" s="1">
        <v>108091</v>
      </c>
      <c r="B93" t="s">
        <v>134</v>
      </c>
      <c r="C93">
        <v>0</v>
      </c>
      <c r="D93">
        <v>2</v>
      </c>
      <c r="F93">
        <v>2</v>
      </c>
      <c r="AK93" t="s">
        <v>232</v>
      </c>
      <c r="AL93" t="s">
        <v>232</v>
      </c>
      <c r="AM93" t="s">
        <v>232</v>
      </c>
      <c r="AN93" t="s">
        <v>232</v>
      </c>
      <c r="AO93" t="s">
        <v>245</v>
      </c>
      <c r="AP93" t="s">
        <v>245</v>
      </c>
      <c r="AQ93" t="s">
        <v>245</v>
      </c>
      <c r="AR93" t="s">
        <v>245</v>
      </c>
      <c r="AS93" t="s">
        <v>260</v>
      </c>
      <c r="AT93" t="s">
        <v>260</v>
      </c>
      <c r="AU93" t="s">
        <v>171</v>
      </c>
    </row>
    <row r="94" spans="1:47" x14ac:dyDescent="0.2">
      <c r="A94" s="1">
        <v>108092</v>
      </c>
      <c r="B94" t="s">
        <v>135</v>
      </c>
      <c r="C94">
        <v>0</v>
      </c>
      <c r="D94">
        <v>3</v>
      </c>
      <c r="F94">
        <v>2</v>
      </c>
      <c r="AK94" t="s">
        <v>233</v>
      </c>
      <c r="AL94" t="s">
        <v>233</v>
      </c>
      <c r="AM94" t="s">
        <v>233</v>
      </c>
      <c r="AN94" t="s">
        <v>233</v>
      </c>
      <c r="AO94" t="s">
        <v>246</v>
      </c>
      <c r="AP94" t="s">
        <v>246</v>
      </c>
      <c r="AQ94" t="s">
        <v>246</v>
      </c>
      <c r="AR94" t="s">
        <v>246</v>
      </c>
      <c r="AS94" t="s">
        <v>261</v>
      </c>
      <c r="AT94" t="s">
        <v>261</v>
      </c>
      <c r="AU94" t="s">
        <v>172</v>
      </c>
    </row>
    <row r="95" spans="1:47" x14ac:dyDescent="0.2">
      <c r="A95" s="1">
        <v>108093</v>
      </c>
      <c r="B95" t="s">
        <v>185</v>
      </c>
      <c r="C95">
        <v>2</v>
      </c>
      <c r="D95">
        <v>2</v>
      </c>
      <c r="E95">
        <v>2</v>
      </c>
      <c r="F95">
        <v>3</v>
      </c>
      <c r="T95" t="s">
        <v>424</v>
      </c>
      <c r="U95" t="s">
        <v>433</v>
      </c>
      <c r="AA95" t="s">
        <v>304</v>
      </c>
      <c r="AB95" t="s">
        <v>271</v>
      </c>
      <c r="AU95" t="s">
        <v>197</v>
      </c>
    </row>
    <row r="96" spans="1:47" x14ac:dyDescent="0.2">
      <c r="A96" s="1">
        <v>108094</v>
      </c>
      <c r="B96" t="s">
        <v>186</v>
      </c>
      <c r="C96">
        <v>2</v>
      </c>
      <c r="D96">
        <v>3</v>
      </c>
      <c r="E96">
        <v>2</v>
      </c>
      <c r="F96">
        <v>3</v>
      </c>
      <c r="T96" t="s">
        <v>287</v>
      </c>
      <c r="U96" t="s">
        <v>434</v>
      </c>
      <c r="AA96" t="s">
        <v>330</v>
      </c>
      <c r="AB96" t="s">
        <v>266</v>
      </c>
      <c r="AU96" t="s">
        <v>198</v>
      </c>
    </row>
    <row r="97" spans="1:47" x14ac:dyDescent="0.2">
      <c r="A97" s="1">
        <v>108095</v>
      </c>
      <c r="B97" t="s">
        <v>187</v>
      </c>
      <c r="C97">
        <v>2</v>
      </c>
      <c r="D97">
        <v>4</v>
      </c>
      <c r="E97">
        <v>2</v>
      </c>
      <c r="F97">
        <v>3</v>
      </c>
      <c r="T97" t="s">
        <v>425</v>
      </c>
      <c r="U97" t="s">
        <v>435</v>
      </c>
      <c r="AA97" t="s">
        <v>292</v>
      </c>
      <c r="AB97" t="s">
        <v>267</v>
      </c>
      <c r="AU97" t="s">
        <v>199</v>
      </c>
    </row>
    <row r="98" spans="1:47" x14ac:dyDescent="0.2">
      <c r="A98" s="1">
        <v>108096</v>
      </c>
      <c r="B98" t="s">
        <v>188</v>
      </c>
      <c r="C98">
        <v>2</v>
      </c>
      <c r="D98">
        <v>5</v>
      </c>
      <c r="E98">
        <v>2</v>
      </c>
      <c r="F98">
        <v>3</v>
      </c>
      <c r="T98" t="s">
        <v>426</v>
      </c>
      <c r="U98" t="s">
        <v>257</v>
      </c>
      <c r="AA98" t="s">
        <v>315</v>
      </c>
      <c r="AB98" t="s">
        <v>268</v>
      </c>
      <c r="AU98" t="s">
        <v>200</v>
      </c>
    </row>
    <row r="99" spans="1:47" x14ac:dyDescent="0.2">
      <c r="A99" s="1">
        <v>108097</v>
      </c>
      <c r="B99" t="s">
        <v>189</v>
      </c>
      <c r="C99">
        <v>2</v>
      </c>
      <c r="D99">
        <v>6</v>
      </c>
      <c r="E99">
        <v>2</v>
      </c>
      <c r="F99">
        <v>3</v>
      </c>
      <c r="T99" t="s">
        <v>423</v>
      </c>
      <c r="U99" t="s">
        <v>432</v>
      </c>
      <c r="AA99" t="s">
        <v>331</v>
      </c>
      <c r="AB99" t="s">
        <v>269</v>
      </c>
      <c r="AU99" t="s">
        <v>201</v>
      </c>
    </row>
    <row r="100" spans="1:47" x14ac:dyDescent="0.2">
      <c r="A100" s="1">
        <v>108098</v>
      </c>
      <c r="B100" t="s">
        <v>190</v>
      </c>
      <c r="C100">
        <v>3</v>
      </c>
      <c r="D100">
        <v>2</v>
      </c>
      <c r="E100">
        <v>3</v>
      </c>
      <c r="F100">
        <v>3</v>
      </c>
      <c r="AE100" t="s">
        <v>285</v>
      </c>
      <c r="AF100" t="s">
        <v>328</v>
      </c>
      <c r="AI100" t="s">
        <v>285</v>
      </c>
      <c r="AJ100" t="s">
        <v>328</v>
      </c>
      <c r="AU100" t="s">
        <v>202</v>
      </c>
    </row>
    <row r="101" spans="1:47" x14ac:dyDescent="0.2">
      <c r="A101" s="1">
        <v>108099</v>
      </c>
      <c r="B101" t="s">
        <v>191</v>
      </c>
      <c r="C101">
        <v>3</v>
      </c>
      <c r="D101">
        <v>3</v>
      </c>
      <c r="E101">
        <v>3</v>
      </c>
      <c r="F101">
        <v>3</v>
      </c>
      <c r="AE101" t="s">
        <v>286</v>
      </c>
      <c r="AF101" t="s">
        <v>347</v>
      </c>
      <c r="AI101" t="s">
        <v>286</v>
      </c>
      <c r="AJ101" t="s">
        <v>347</v>
      </c>
      <c r="AU101" t="s">
        <v>203</v>
      </c>
    </row>
    <row r="102" spans="1:47" x14ac:dyDescent="0.2">
      <c r="A102" s="1">
        <v>108100</v>
      </c>
      <c r="B102" t="s">
        <v>192</v>
      </c>
      <c r="C102">
        <v>3</v>
      </c>
      <c r="D102">
        <v>4</v>
      </c>
      <c r="E102">
        <v>3</v>
      </c>
      <c r="F102">
        <v>3</v>
      </c>
      <c r="AE102" t="s">
        <v>287</v>
      </c>
      <c r="AF102" t="s">
        <v>348</v>
      </c>
      <c r="AI102" t="s">
        <v>287</v>
      </c>
      <c r="AJ102" t="s">
        <v>348</v>
      </c>
      <c r="AU102" t="s">
        <v>204</v>
      </c>
    </row>
    <row r="103" spans="1:47" x14ac:dyDescent="0.2">
      <c r="A103" s="1">
        <v>108101</v>
      </c>
      <c r="B103" t="s">
        <v>193</v>
      </c>
      <c r="C103">
        <v>3</v>
      </c>
      <c r="D103">
        <v>5</v>
      </c>
      <c r="E103">
        <v>3</v>
      </c>
      <c r="F103">
        <v>3</v>
      </c>
      <c r="AE103" t="s">
        <v>288</v>
      </c>
      <c r="AF103" t="s">
        <v>349</v>
      </c>
      <c r="AI103" t="s">
        <v>288</v>
      </c>
      <c r="AJ103" t="s">
        <v>349</v>
      </c>
      <c r="AU103" t="s">
        <v>205</v>
      </c>
    </row>
    <row r="104" spans="1:47" x14ac:dyDescent="0.2">
      <c r="A104" s="1">
        <v>108102</v>
      </c>
      <c r="B104" t="s">
        <v>194</v>
      </c>
      <c r="C104">
        <v>3</v>
      </c>
      <c r="D104">
        <v>6</v>
      </c>
      <c r="E104">
        <v>3</v>
      </c>
      <c r="F104">
        <v>3</v>
      </c>
      <c r="AE104" t="s">
        <v>289</v>
      </c>
      <c r="AF104" t="s">
        <v>342</v>
      </c>
      <c r="AI104" t="s">
        <v>289</v>
      </c>
      <c r="AJ104" t="s">
        <v>342</v>
      </c>
      <c r="AU104" t="s">
        <v>206</v>
      </c>
    </row>
    <row r="105" spans="1:47" x14ac:dyDescent="0.2">
      <c r="A105" s="1">
        <v>108103</v>
      </c>
      <c r="B105" t="s">
        <v>195</v>
      </c>
      <c r="C105">
        <v>0</v>
      </c>
      <c r="D105">
        <v>3</v>
      </c>
      <c r="F105">
        <v>3</v>
      </c>
      <c r="AK105" t="s">
        <v>233</v>
      </c>
      <c r="AL105" t="s">
        <v>233</v>
      </c>
      <c r="AM105" t="s">
        <v>233</v>
      </c>
      <c r="AN105" t="s">
        <v>233</v>
      </c>
      <c r="AO105" t="s">
        <v>246</v>
      </c>
      <c r="AP105" t="s">
        <v>246</v>
      </c>
      <c r="AQ105" t="s">
        <v>246</v>
      </c>
      <c r="AR105" t="s">
        <v>246</v>
      </c>
      <c r="AS105" t="s">
        <v>261</v>
      </c>
      <c r="AT105" t="s">
        <v>261</v>
      </c>
      <c r="AU105" t="s">
        <v>207</v>
      </c>
    </row>
    <row r="106" spans="1:47" x14ac:dyDescent="0.2">
      <c r="A106" s="1">
        <v>108104</v>
      </c>
      <c r="B106" t="s">
        <v>196</v>
      </c>
      <c r="C106">
        <v>0</v>
      </c>
      <c r="D106">
        <v>4</v>
      </c>
      <c r="F106">
        <v>3</v>
      </c>
      <c r="AK106" t="s">
        <v>234</v>
      </c>
      <c r="AL106" t="s">
        <v>234</v>
      </c>
      <c r="AM106" t="s">
        <v>234</v>
      </c>
      <c r="AN106" t="s">
        <v>234</v>
      </c>
      <c r="AO106" t="s">
        <v>247</v>
      </c>
      <c r="AP106" t="s">
        <v>247</v>
      </c>
      <c r="AQ106" t="s">
        <v>247</v>
      </c>
      <c r="AR106" t="s">
        <v>247</v>
      </c>
      <c r="AS106" t="s">
        <v>262</v>
      </c>
      <c r="AT106" t="s">
        <v>262</v>
      </c>
      <c r="AU106" t="s">
        <v>208</v>
      </c>
    </row>
    <row r="107" spans="1:47" x14ac:dyDescent="0.2">
      <c r="A107" s="1">
        <v>108105</v>
      </c>
      <c r="B107" t="s">
        <v>137</v>
      </c>
      <c r="C107">
        <v>2</v>
      </c>
      <c r="D107">
        <v>5</v>
      </c>
      <c r="E107">
        <v>0</v>
      </c>
      <c r="F107">
        <v>4</v>
      </c>
      <c r="J107" t="s">
        <v>294</v>
      </c>
      <c r="K107" t="s">
        <v>294</v>
      </c>
      <c r="L107" t="s">
        <v>240</v>
      </c>
      <c r="M107" t="s">
        <v>240</v>
      </c>
      <c r="AU107" t="s">
        <v>173</v>
      </c>
    </row>
    <row r="108" spans="1:47" x14ac:dyDescent="0.2">
      <c r="A108" s="1">
        <v>108106</v>
      </c>
      <c r="B108" t="s">
        <v>138</v>
      </c>
      <c r="C108">
        <v>2</v>
      </c>
      <c r="D108">
        <v>4</v>
      </c>
      <c r="E108">
        <v>0</v>
      </c>
      <c r="F108">
        <v>4</v>
      </c>
      <c r="J108" t="s">
        <v>293</v>
      </c>
      <c r="K108" t="s">
        <v>293</v>
      </c>
      <c r="L108" t="s">
        <v>239</v>
      </c>
      <c r="M108" t="s">
        <v>239</v>
      </c>
      <c r="AU108" t="s">
        <v>174</v>
      </c>
    </row>
    <row r="109" spans="1:47" x14ac:dyDescent="0.2">
      <c r="A109" s="1">
        <v>108107</v>
      </c>
      <c r="B109" t="s">
        <v>139</v>
      </c>
      <c r="C109">
        <v>2</v>
      </c>
      <c r="D109">
        <v>3</v>
      </c>
      <c r="E109">
        <v>0</v>
      </c>
      <c r="F109">
        <v>4</v>
      </c>
      <c r="J109" t="s">
        <v>292</v>
      </c>
      <c r="K109" t="s">
        <v>292</v>
      </c>
      <c r="L109" t="s">
        <v>238</v>
      </c>
      <c r="M109" t="s">
        <v>238</v>
      </c>
      <c r="AU109" t="s">
        <v>175</v>
      </c>
    </row>
    <row r="110" spans="1:47" x14ac:dyDescent="0.2">
      <c r="A110" s="1">
        <v>108108</v>
      </c>
      <c r="B110" t="s">
        <v>140</v>
      </c>
      <c r="C110">
        <v>2</v>
      </c>
      <c r="D110">
        <v>2</v>
      </c>
      <c r="E110">
        <v>0</v>
      </c>
      <c r="F110">
        <v>4</v>
      </c>
      <c r="J110" t="s">
        <v>291</v>
      </c>
      <c r="K110" t="s">
        <v>291</v>
      </c>
      <c r="L110" t="s">
        <v>237</v>
      </c>
      <c r="M110" t="s">
        <v>237</v>
      </c>
      <c r="AU110" t="s">
        <v>176</v>
      </c>
    </row>
    <row r="111" spans="1:47" x14ac:dyDescent="0.2">
      <c r="A111" s="1">
        <v>108109</v>
      </c>
      <c r="B111" t="s">
        <v>141</v>
      </c>
      <c r="C111">
        <v>2</v>
      </c>
      <c r="D111">
        <v>6</v>
      </c>
      <c r="E111">
        <v>0</v>
      </c>
      <c r="F111">
        <v>4</v>
      </c>
      <c r="AU111" t="s">
        <v>177</v>
      </c>
    </row>
    <row r="112" spans="1:47" x14ac:dyDescent="0.2">
      <c r="A112" s="1">
        <v>108110</v>
      </c>
      <c r="B112" t="s">
        <v>142</v>
      </c>
      <c r="C112">
        <v>2</v>
      </c>
      <c r="D112">
        <v>2</v>
      </c>
      <c r="E112">
        <v>1</v>
      </c>
      <c r="F112">
        <v>4</v>
      </c>
      <c r="P112" t="s">
        <v>299</v>
      </c>
      <c r="Q112" t="s">
        <v>299</v>
      </c>
      <c r="R112" t="s">
        <v>255</v>
      </c>
      <c r="S112" t="s">
        <v>255</v>
      </c>
      <c r="AU112" t="s">
        <v>178</v>
      </c>
    </row>
    <row r="113" spans="1:47" x14ac:dyDescent="0.2">
      <c r="A113" s="1">
        <v>108111</v>
      </c>
      <c r="B113" t="s">
        <v>143</v>
      </c>
      <c r="C113">
        <v>2</v>
      </c>
      <c r="D113">
        <v>3</v>
      </c>
      <c r="E113">
        <v>1</v>
      </c>
      <c r="F113">
        <v>4</v>
      </c>
      <c r="P113" t="s">
        <v>300</v>
      </c>
      <c r="Q113" t="s">
        <v>300</v>
      </c>
      <c r="R113" t="s">
        <v>256</v>
      </c>
      <c r="S113" t="s">
        <v>256</v>
      </c>
      <c r="AU113" t="s">
        <v>179</v>
      </c>
    </row>
    <row r="114" spans="1:47" x14ac:dyDescent="0.2">
      <c r="A114" s="1">
        <v>108112</v>
      </c>
      <c r="B114" t="s">
        <v>144</v>
      </c>
      <c r="C114">
        <v>2</v>
      </c>
      <c r="D114">
        <v>4</v>
      </c>
      <c r="E114">
        <v>1</v>
      </c>
      <c r="F114">
        <v>4</v>
      </c>
      <c r="P114" t="s">
        <v>301</v>
      </c>
      <c r="Q114" t="s">
        <v>301</v>
      </c>
      <c r="R114" t="s">
        <v>257</v>
      </c>
      <c r="S114" t="s">
        <v>257</v>
      </c>
      <c r="AU114" t="s">
        <v>180</v>
      </c>
    </row>
    <row r="115" spans="1:47" x14ac:dyDescent="0.2">
      <c r="A115" s="1">
        <v>108113</v>
      </c>
      <c r="B115" t="s">
        <v>145</v>
      </c>
      <c r="C115">
        <v>2</v>
      </c>
      <c r="D115">
        <v>5</v>
      </c>
      <c r="E115">
        <v>1</v>
      </c>
      <c r="F115">
        <v>4</v>
      </c>
      <c r="P115" t="s">
        <v>302</v>
      </c>
      <c r="Q115" t="s">
        <v>302</v>
      </c>
      <c r="R115" t="s">
        <v>258</v>
      </c>
      <c r="S115" t="s">
        <v>258</v>
      </c>
      <c r="AU115" t="s">
        <v>181</v>
      </c>
    </row>
    <row r="116" spans="1:47" x14ac:dyDescent="0.2">
      <c r="A116" s="1">
        <v>108114</v>
      </c>
      <c r="B116" t="s">
        <v>146</v>
      </c>
      <c r="C116">
        <v>2</v>
      </c>
      <c r="D116">
        <v>6</v>
      </c>
      <c r="E116">
        <v>1</v>
      </c>
      <c r="F116">
        <v>4</v>
      </c>
      <c r="P116" t="s">
        <v>298</v>
      </c>
      <c r="Q116" t="s">
        <v>298</v>
      </c>
      <c r="R116" t="s">
        <v>254</v>
      </c>
      <c r="S116" t="s">
        <v>254</v>
      </c>
      <c r="AU116" t="s">
        <v>182</v>
      </c>
    </row>
    <row r="117" spans="1:47" x14ac:dyDescent="0.2">
      <c r="A117" s="1">
        <v>108115</v>
      </c>
      <c r="B117" t="s">
        <v>147</v>
      </c>
      <c r="C117">
        <v>0</v>
      </c>
      <c r="D117">
        <v>4</v>
      </c>
      <c r="F117">
        <v>4</v>
      </c>
      <c r="AK117" t="s">
        <v>234</v>
      </c>
      <c r="AL117" t="s">
        <v>234</v>
      </c>
      <c r="AM117" t="s">
        <v>234</v>
      </c>
      <c r="AN117" t="s">
        <v>234</v>
      </c>
      <c r="AO117" t="s">
        <v>247</v>
      </c>
      <c r="AP117" t="s">
        <v>247</v>
      </c>
      <c r="AQ117" t="s">
        <v>247</v>
      </c>
      <c r="AR117" t="s">
        <v>247</v>
      </c>
      <c r="AS117" t="s">
        <v>262</v>
      </c>
      <c r="AT117" t="s">
        <v>262</v>
      </c>
      <c r="AU117" t="s">
        <v>183</v>
      </c>
    </row>
    <row r="118" spans="1:47" x14ac:dyDescent="0.2">
      <c r="A118" s="1">
        <v>108116</v>
      </c>
      <c r="B118" t="s">
        <v>148</v>
      </c>
      <c r="C118">
        <v>0</v>
      </c>
      <c r="D118">
        <v>5</v>
      </c>
      <c r="F118">
        <v>4</v>
      </c>
      <c r="AK118" t="s">
        <v>235</v>
      </c>
      <c r="AL118" t="s">
        <v>235</v>
      </c>
      <c r="AM118" t="s">
        <v>235</v>
      </c>
      <c r="AN118" t="s">
        <v>235</v>
      </c>
      <c r="AO118" t="s">
        <v>248</v>
      </c>
      <c r="AP118" t="s">
        <v>248</v>
      </c>
      <c r="AQ118" t="s">
        <v>248</v>
      </c>
      <c r="AR118" t="s">
        <v>248</v>
      </c>
      <c r="AS118" t="s">
        <v>263</v>
      </c>
      <c r="AT118" t="s">
        <v>263</v>
      </c>
      <c r="AU118" t="s">
        <v>184</v>
      </c>
    </row>
    <row r="119" spans="1:47" x14ac:dyDescent="0.2">
      <c r="A119" s="1">
        <v>108117</v>
      </c>
      <c r="B119" t="s">
        <v>120</v>
      </c>
      <c r="C119">
        <v>1</v>
      </c>
      <c r="E119">
        <v>7</v>
      </c>
      <c r="F119">
        <v>5</v>
      </c>
      <c r="V119" t="e">
        <v>#N/A</v>
      </c>
      <c r="W119" t="e">
        <v>#N/A</v>
      </c>
      <c r="X119" t="e">
        <v>#N/A</v>
      </c>
      <c r="Y119" t="e">
        <v>#N/A</v>
      </c>
      <c r="AC119" t="e">
        <v>#N/A</v>
      </c>
      <c r="AD119" t="e">
        <v>#N/A</v>
      </c>
      <c r="AE119" t="e">
        <v>#N/A</v>
      </c>
      <c r="AF119" t="e">
        <v>#N/A</v>
      </c>
      <c r="AG119" t="e">
        <v>#N/A</v>
      </c>
      <c r="AH119" t="e">
        <v>#N/A</v>
      </c>
      <c r="AI119" t="e">
        <v>#N/A</v>
      </c>
      <c r="AJ119" t="e">
        <v>#N/A</v>
      </c>
      <c r="AU119" t="s">
        <v>157</v>
      </c>
    </row>
    <row r="120" spans="1:47" x14ac:dyDescent="0.2">
      <c r="A120" s="1">
        <v>108118</v>
      </c>
      <c r="B120" t="s">
        <v>137</v>
      </c>
      <c r="C120">
        <v>1</v>
      </c>
      <c r="E120">
        <v>7</v>
      </c>
      <c r="F120">
        <v>5</v>
      </c>
      <c r="V120" t="e">
        <v>#N/A</v>
      </c>
      <c r="W120" t="e">
        <v>#N/A</v>
      </c>
      <c r="X120" t="e">
        <v>#N/A</v>
      </c>
      <c r="Y120" t="e">
        <v>#N/A</v>
      </c>
      <c r="AC120" t="e">
        <v>#N/A</v>
      </c>
      <c r="AD120" t="e">
        <v>#N/A</v>
      </c>
      <c r="AE120" t="e">
        <v>#N/A</v>
      </c>
      <c r="AF120" t="e">
        <v>#N/A</v>
      </c>
      <c r="AG120" t="e">
        <v>#N/A</v>
      </c>
      <c r="AH120" t="e">
        <v>#N/A</v>
      </c>
      <c r="AI120" t="e">
        <v>#N/A</v>
      </c>
      <c r="AJ120" t="e">
        <v>#N/A</v>
      </c>
      <c r="AU120" t="s">
        <v>173</v>
      </c>
    </row>
    <row r="121" spans="1:47" x14ac:dyDescent="0.2">
      <c r="A121" s="1">
        <v>108119</v>
      </c>
      <c r="B121" t="s">
        <v>139</v>
      </c>
      <c r="C121">
        <v>2</v>
      </c>
      <c r="E121">
        <v>0</v>
      </c>
      <c r="F121">
        <v>5</v>
      </c>
      <c r="AU121" t="s">
        <v>213</v>
      </c>
    </row>
    <row r="122" spans="1:47" x14ac:dyDescent="0.2">
      <c r="A122" s="1">
        <v>108120</v>
      </c>
      <c r="B122" t="s">
        <v>121</v>
      </c>
      <c r="C122">
        <v>1</v>
      </c>
      <c r="E122">
        <v>7</v>
      </c>
      <c r="F122">
        <v>5</v>
      </c>
      <c r="V122" t="e">
        <v>#N/A</v>
      </c>
      <c r="W122" t="e">
        <v>#N/A</v>
      </c>
      <c r="X122" t="e">
        <v>#N/A</v>
      </c>
      <c r="Y122" t="e">
        <v>#N/A</v>
      </c>
      <c r="AC122" t="e">
        <v>#N/A</v>
      </c>
      <c r="AD122" t="e">
        <v>#N/A</v>
      </c>
      <c r="AE122" t="e">
        <v>#N/A</v>
      </c>
      <c r="AF122" t="e">
        <v>#N/A</v>
      </c>
      <c r="AG122" t="e">
        <v>#N/A</v>
      </c>
      <c r="AH122" t="e">
        <v>#N/A</v>
      </c>
      <c r="AI122" t="e">
        <v>#N/A</v>
      </c>
      <c r="AJ122" t="e">
        <v>#N/A</v>
      </c>
      <c r="AU122" t="s">
        <v>158</v>
      </c>
    </row>
    <row r="123" spans="1:47" x14ac:dyDescent="0.2">
      <c r="A123" s="1">
        <v>108121</v>
      </c>
      <c r="B123" t="s">
        <v>209</v>
      </c>
      <c r="C123">
        <v>1</v>
      </c>
      <c r="E123">
        <v>7</v>
      </c>
      <c r="F123">
        <v>5</v>
      </c>
      <c r="V123" t="e">
        <v>#N/A</v>
      </c>
      <c r="W123" t="e">
        <v>#N/A</v>
      </c>
      <c r="X123" t="e">
        <v>#N/A</v>
      </c>
      <c r="Y123" t="e">
        <v>#N/A</v>
      </c>
      <c r="AC123" t="e">
        <v>#N/A</v>
      </c>
      <c r="AD123" t="e">
        <v>#N/A</v>
      </c>
      <c r="AE123" t="e">
        <v>#N/A</v>
      </c>
      <c r="AF123" t="e">
        <v>#N/A</v>
      </c>
      <c r="AG123" t="e">
        <v>#N/A</v>
      </c>
      <c r="AH123" t="e">
        <v>#N/A</v>
      </c>
      <c r="AI123" t="e">
        <v>#N/A</v>
      </c>
      <c r="AJ123" t="e">
        <v>#N/A</v>
      </c>
      <c r="AU123" t="s">
        <v>214</v>
      </c>
    </row>
    <row r="124" spans="1:47" x14ac:dyDescent="0.2">
      <c r="A124" s="1">
        <v>108122</v>
      </c>
      <c r="B124" t="s">
        <v>144</v>
      </c>
      <c r="C124">
        <v>1</v>
      </c>
      <c r="E124">
        <v>6</v>
      </c>
      <c r="F124">
        <v>5</v>
      </c>
      <c r="J124" t="e">
        <v>#N/A</v>
      </c>
      <c r="K124" t="e">
        <v>#N/A</v>
      </c>
      <c r="L124" t="e">
        <v>#N/A</v>
      </c>
      <c r="M124" t="e">
        <v>#N/A</v>
      </c>
      <c r="P124" t="e">
        <v>#N/A</v>
      </c>
      <c r="Q124" t="e">
        <v>#N/A</v>
      </c>
      <c r="R124" t="e">
        <v>#N/A</v>
      </c>
      <c r="S124" t="e">
        <v>#N/A</v>
      </c>
      <c r="T124" t="e">
        <v>#N/A</v>
      </c>
      <c r="U124" t="e">
        <v>#N/A</v>
      </c>
      <c r="AA124" t="e">
        <v>#N/A</v>
      </c>
      <c r="AB124" t="e">
        <v>#N/A</v>
      </c>
      <c r="AU124" t="s">
        <v>215</v>
      </c>
    </row>
    <row r="125" spans="1:47" x14ac:dyDescent="0.2">
      <c r="A125" s="1">
        <v>108123</v>
      </c>
      <c r="B125" t="s">
        <v>210</v>
      </c>
      <c r="C125">
        <v>2</v>
      </c>
      <c r="E125">
        <v>0</v>
      </c>
      <c r="F125">
        <v>5</v>
      </c>
      <c r="AU125" t="s">
        <v>216</v>
      </c>
    </row>
    <row r="126" spans="1:47" x14ac:dyDescent="0.2">
      <c r="A126" s="1">
        <v>108124</v>
      </c>
      <c r="B126" t="s">
        <v>211</v>
      </c>
      <c r="C126">
        <v>1</v>
      </c>
      <c r="E126">
        <v>7</v>
      </c>
      <c r="F126">
        <v>5</v>
      </c>
      <c r="V126" t="e">
        <v>#N/A</v>
      </c>
      <c r="W126" t="e">
        <v>#N/A</v>
      </c>
      <c r="X126" t="e">
        <v>#N/A</v>
      </c>
      <c r="Y126" t="e">
        <v>#N/A</v>
      </c>
      <c r="AC126" t="e">
        <v>#N/A</v>
      </c>
      <c r="AD126" t="e">
        <v>#N/A</v>
      </c>
      <c r="AE126" t="e">
        <v>#N/A</v>
      </c>
      <c r="AF126" t="e">
        <v>#N/A</v>
      </c>
      <c r="AG126" t="e">
        <v>#N/A</v>
      </c>
      <c r="AH126" t="e">
        <v>#N/A</v>
      </c>
      <c r="AI126" t="e">
        <v>#N/A</v>
      </c>
      <c r="AJ126" t="e">
        <v>#N/A</v>
      </c>
      <c r="AU126" t="s">
        <v>217</v>
      </c>
    </row>
    <row r="127" spans="1:47" x14ac:dyDescent="0.2">
      <c r="A127" s="1">
        <v>108125</v>
      </c>
      <c r="B127" t="s">
        <v>212</v>
      </c>
      <c r="C127">
        <v>3</v>
      </c>
      <c r="E127">
        <v>3</v>
      </c>
      <c r="F127">
        <v>5</v>
      </c>
      <c r="AE127" t="e">
        <v>#N/A</v>
      </c>
      <c r="AF127" t="e">
        <v>#N/A</v>
      </c>
      <c r="AI127" t="e">
        <v>#N/A</v>
      </c>
      <c r="AJ127" t="e">
        <v>#N/A</v>
      </c>
      <c r="AU127" t="s">
        <v>218</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A6DFB-BCAA-44D2-85F5-8D3CA6F271FF}">
  <sheetPr codeName="Sheet4"/>
  <dimension ref="A1:Q53"/>
  <sheetViews>
    <sheetView zoomScale="115" zoomScaleNormal="115" workbookViewId="0">
      <selection activeCell="A3" sqref="A3:A26"/>
    </sheetView>
  </sheetViews>
  <sheetFormatPr defaultRowHeight="12.75" x14ac:dyDescent="0.2"/>
  <cols>
    <col min="1" max="1" width="13.375" style="3" bestFit="1" customWidth="1"/>
    <col min="2" max="16384" width="9" style="3"/>
  </cols>
  <sheetData>
    <row r="1" spans="1:17" x14ac:dyDescent="0.2">
      <c r="A1" s="3" t="s">
        <v>4</v>
      </c>
      <c r="B1" s="14" t="s">
        <v>101</v>
      </c>
      <c r="C1" s="14"/>
      <c r="D1" s="14"/>
      <c r="E1" s="14"/>
      <c r="F1" s="14"/>
      <c r="G1" s="14"/>
      <c r="H1" s="14"/>
      <c r="K1" s="3">
        <v>1</v>
      </c>
      <c r="L1" s="3">
        <v>2</v>
      </c>
      <c r="M1" s="3">
        <v>3</v>
      </c>
      <c r="N1" s="3">
        <v>4</v>
      </c>
      <c r="O1" s="3">
        <v>5</v>
      </c>
      <c r="P1" s="3">
        <v>6</v>
      </c>
      <c r="Q1" s="3">
        <v>7</v>
      </c>
    </row>
    <row r="2" spans="1:17" x14ac:dyDescent="0.2">
      <c r="A2" s="3" t="s">
        <v>102</v>
      </c>
      <c r="B2" s="4">
        <v>1</v>
      </c>
      <c r="C2" s="4">
        <v>2</v>
      </c>
      <c r="D2" s="4">
        <v>3</v>
      </c>
      <c r="E2" s="4">
        <v>4</v>
      </c>
      <c r="F2" s="4">
        <v>5</v>
      </c>
      <c r="G2" s="4">
        <v>6</v>
      </c>
      <c r="H2" s="4">
        <v>7</v>
      </c>
      <c r="J2" s="3" t="s">
        <v>220</v>
      </c>
      <c r="K2" s="10">
        <v>27.66</v>
      </c>
      <c r="L2" s="10">
        <v>59.4</v>
      </c>
      <c r="M2" s="10">
        <v>95.82</v>
      </c>
      <c r="N2" s="10">
        <v>135.80000000000001</v>
      </c>
      <c r="O2" s="10">
        <v>178.74</v>
      </c>
      <c r="P2" s="10">
        <v>224.21</v>
      </c>
      <c r="Q2" s="10">
        <v>271.93</v>
      </c>
    </row>
    <row r="3" spans="1:17" x14ac:dyDescent="0.2">
      <c r="A3" s="3" t="s">
        <v>473</v>
      </c>
      <c r="B3" s="4">
        <v>7.5</v>
      </c>
      <c r="C3" s="4">
        <v>15</v>
      </c>
      <c r="D3" s="4">
        <v>22.5</v>
      </c>
      <c r="E3" s="4">
        <v>30</v>
      </c>
      <c r="F3" s="4">
        <v>37.5</v>
      </c>
      <c r="G3" s="4">
        <v>45</v>
      </c>
      <c r="H3" s="4">
        <v>48.75</v>
      </c>
      <c r="J3" s="3" t="s">
        <v>221</v>
      </c>
      <c r="K3" s="10">
        <v>68.13</v>
      </c>
      <c r="L3" s="10">
        <v>105.51</v>
      </c>
      <c r="M3" s="10">
        <v>146.28</v>
      </c>
      <c r="N3" s="10">
        <v>189.88</v>
      </c>
      <c r="O3" s="10">
        <v>235.94</v>
      </c>
      <c r="P3" s="10">
        <v>284.18</v>
      </c>
      <c r="Q3" s="10">
        <v>309.05</v>
      </c>
    </row>
    <row r="4" spans="1:17" x14ac:dyDescent="0.2">
      <c r="A4" s="3" t="s">
        <v>474</v>
      </c>
      <c r="B4" s="4">
        <v>7.5</v>
      </c>
      <c r="C4" s="4">
        <v>15</v>
      </c>
      <c r="D4" s="4">
        <v>22.5</v>
      </c>
      <c r="E4" s="4">
        <v>30</v>
      </c>
      <c r="F4" s="4">
        <v>37.5</v>
      </c>
      <c r="G4" s="4">
        <v>45</v>
      </c>
      <c r="H4" s="4">
        <v>48.75</v>
      </c>
      <c r="J4" s="3" t="s">
        <v>222</v>
      </c>
      <c r="K4" s="10">
        <v>30</v>
      </c>
      <c r="L4" s="10">
        <v>78</v>
      </c>
      <c r="M4" s="10">
        <v>126</v>
      </c>
      <c r="N4" s="10">
        <v>174</v>
      </c>
      <c r="O4" s="10">
        <v>222</v>
      </c>
      <c r="P4" s="10">
        <v>270</v>
      </c>
      <c r="Q4" s="10">
        <v>318</v>
      </c>
    </row>
    <row r="5" spans="1:17" x14ac:dyDescent="0.2">
      <c r="A5" s="3" t="s">
        <v>477</v>
      </c>
      <c r="B5" s="5">
        <v>0.02</v>
      </c>
      <c r="C5" s="5">
        <v>0.04</v>
      </c>
      <c r="D5" s="5">
        <v>0.06</v>
      </c>
      <c r="E5" s="5">
        <v>0.08</v>
      </c>
      <c r="F5" s="5">
        <v>0.1</v>
      </c>
      <c r="G5" s="5">
        <v>0.12</v>
      </c>
      <c r="H5" s="5">
        <v>0.13</v>
      </c>
      <c r="J5" s="3" t="s">
        <v>223</v>
      </c>
      <c r="K5" s="10">
        <v>90</v>
      </c>
      <c r="L5" s="10">
        <v>138</v>
      </c>
      <c r="M5" s="10">
        <v>186</v>
      </c>
      <c r="N5" s="10">
        <v>234</v>
      </c>
      <c r="O5" s="10">
        <v>282</v>
      </c>
      <c r="P5" s="10">
        <v>330</v>
      </c>
      <c r="Q5" s="10">
        <v>354</v>
      </c>
    </row>
    <row r="6" spans="1:17" x14ac:dyDescent="0.2">
      <c r="A6" s="3" t="s">
        <v>478</v>
      </c>
      <c r="B6" s="5">
        <v>0.02</v>
      </c>
      <c r="C6" s="5">
        <v>0.04</v>
      </c>
      <c r="D6" s="5">
        <v>0.06</v>
      </c>
      <c r="E6" s="5">
        <v>0.08</v>
      </c>
      <c r="F6" s="5">
        <v>0.1</v>
      </c>
      <c r="G6" s="5">
        <v>0.12</v>
      </c>
      <c r="H6" s="5">
        <v>0.13</v>
      </c>
      <c r="J6" s="3" t="s">
        <v>224</v>
      </c>
      <c r="K6" s="10">
        <v>992.64</v>
      </c>
      <c r="L6" s="10">
        <v>1388.57</v>
      </c>
      <c r="M6" s="10">
        <v>1745.81</v>
      </c>
      <c r="N6" s="10">
        <v>2187.4299999999998</v>
      </c>
      <c r="O6" s="10">
        <v>2742.29</v>
      </c>
      <c r="P6" s="10">
        <v>3396.85</v>
      </c>
      <c r="Q6" s="10">
        <v>4118.7</v>
      </c>
    </row>
    <row r="7" spans="1:17" x14ac:dyDescent="0.2">
      <c r="A7" s="3" t="s">
        <v>91</v>
      </c>
      <c r="B7" s="4">
        <v>1</v>
      </c>
      <c r="C7" s="4">
        <v>2</v>
      </c>
      <c r="D7" s="4">
        <v>3</v>
      </c>
      <c r="E7" s="4">
        <v>4</v>
      </c>
      <c r="F7" s="4">
        <v>5</v>
      </c>
      <c r="G7" s="4">
        <v>6</v>
      </c>
      <c r="H7" s="4">
        <v>6.5</v>
      </c>
      <c r="J7" s="3" t="s">
        <v>225</v>
      </c>
      <c r="K7" s="10">
        <v>1474.3</v>
      </c>
      <c r="L7" s="10">
        <v>1846.12</v>
      </c>
      <c r="M7" s="10">
        <v>2315.58</v>
      </c>
      <c r="N7" s="10">
        <v>2897.64</v>
      </c>
      <c r="O7" s="10">
        <v>3572.48</v>
      </c>
      <c r="P7" s="10">
        <v>4305.13</v>
      </c>
      <c r="Q7" s="10">
        <v>4680.78</v>
      </c>
    </row>
    <row r="8" spans="1:17" x14ac:dyDescent="0.2">
      <c r="A8" s="3" t="s">
        <v>98</v>
      </c>
      <c r="B8" s="4">
        <v>4</v>
      </c>
      <c r="C8" s="4">
        <v>8</v>
      </c>
      <c r="D8" s="4">
        <v>12</v>
      </c>
      <c r="E8" s="4">
        <v>16</v>
      </c>
      <c r="F8" s="4">
        <v>20</v>
      </c>
      <c r="G8" s="4">
        <v>24</v>
      </c>
      <c r="H8" s="4">
        <v>26</v>
      </c>
    </row>
    <row r="9" spans="1:17" x14ac:dyDescent="0.2">
      <c r="A9" s="3" t="s">
        <v>89</v>
      </c>
      <c r="B9" s="4">
        <v>5</v>
      </c>
      <c r="C9" s="4">
        <v>10</v>
      </c>
      <c r="D9" s="4">
        <v>15</v>
      </c>
      <c r="E9" s="4">
        <v>20</v>
      </c>
      <c r="F9" s="4">
        <v>25</v>
      </c>
      <c r="G9" s="4">
        <v>30</v>
      </c>
      <c r="H9" s="4">
        <v>32.5</v>
      </c>
      <c r="K9" s="10">
        <f>TRUNC(K2,2)</f>
        <v>27.66</v>
      </c>
      <c r="L9" s="10">
        <f t="shared" ref="L9:Q9" si="0">TRUNC(L2,2)</f>
        <v>59.4</v>
      </c>
      <c r="M9" s="10">
        <f t="shared" si="0"/>
        <v>95.82</v>
      </c>
      <c r="N9" s="10">
        <f t="shared" si="0"/>
        <v>135.80000000000001</v>
      </c>
      <c r="O9" s="10">
        <f t="shared" si="0"/>
        <v>178.74</v>
      </c>
      <c r="P9" s="10">
        <f t="shared" si="0"/>
        <v>224.21</v>
      </c>
      <c r="Q9" s="10">
        <f t="shared" si="0"/>
        <v>271.93</v>
      </c>
    </row>
    <row r="10" spans="1:17" x14ac:dyDescent="0.2">
      <c r="A10" s="3" t="s">
        <v>104</v>
      </c>
      <c r="B10" s="4">
        <v>5</v>
      </c>
      <c r="C10" s="4">
        <v>10</v>
      </c>
      <c r="D10" s="4">
        <v>15</v>
      </c>
      <c r="E10" s="4">
        <v>20</v>
      </c>
      <c r="F10" s="4">
        <v>25</v>
      </c>
      <c r="G10" s="4">
        <v>30</v>
      </c>
      <c r="H10" s="4">
        <v>32.5</v>
      </c>
      <c r="K10" s="10">
        <f t="shared" ref="K10:Q10" si="1">TRUNC(K3,2)</f>
        <v>68.13</v>
      </c>
      <c r="L10" s="10">
        <f t="shared" si="1"/>
        <v>105.51</v>
      </c>
      <c r="M10" s="10">
        <f t="shared" si="1"/>
        <v>146.28</v>
      </c>
      <c r="N10" s="10">
        <f t="shared" si="1"/>
        <v>189.88</v>
      </c>
      <c r="O10" s="10">
        <f t="shared" si="1"/>
        <v>235.94</v>
      </c>
      <c r="P10" s="10">
        <f t="shared" si="1"/>
        <v>284.18</v>
      </c>
      <c r="Q10" s="10">
        <f t="shared" si="1"/>
        <v>309.05</v>
      </c>
    </row>
    <row r="11" spans="1:17" x14ac:dyDescent="0.2">
      <c r="A11" s="3" t="s">
        <v>479</v>
      </c>
      <c r="B11" s="5">
        <v>0.02</v>
      </c>
      <c r="C11" s="5">
        <v>0.04</v>
      </c>
      <c r="D11" s="5">
        <v>0.06</v>
      </c>
      <c r="E11" s="5">
        <v>0.08</v>
      </c>
      <c r="F11" s="5">
        <v>0.1</v>
      </c>
      <c r="G11" s="5">
        <v>0.12</v>
      </c>
      <c r="H11" s="5">
        <v>0.13</v>
      </c>
      <c r="K11" s="10">
        <f t="shared" ref="K11:Q11" si="2">TRUNC(K4,2)</f>
        <v>30</v>
      </c>
      <c r="L11" s="10">
        <f t="shared" si="2"/>
        <v>78</v>
      </c>
      <c r="M11" s="10">
        <f t="shared" si="2"/>
        <v>126</v>
      </c>
      <c r="N11" s="10">
        <f t="shared" si="2"/>
        <v>174</v>
      </c>
      <c r="O11" s="10">
        <f t="shared" si="2"/>
        <v>222</v>
      </c>
      <c r="P11" s="10">
        <f t="shared" si="2"/>
        <v>270</v>
      </c>
      <c r="Q11" s="10">
        <f t="shared" si="2"/>
        <v>318</v>
      </c>
    </row>
    <row r="12" spans="1:17" x14ac:dyDescent="0.2">
      <c r="A12" s="3" t="s">
        <v>480</v>
      </c>
      <c r="B12" s="5">
        <v>0.02</v>
      </c>
      <c r="C12" s="5">
        <v>0.04</v>
      </c>
      <c r="D12" s="5">
        <v>0.06</v>
      </c>
      <c r="E12" s="5">
        <v>0.08</v>
      </c>
      <c r="F12" s="5">
        <v>0.1</v>
      </c>
      <c r="G12" s="5">
        <v>0.12</v>
      </c>
      <c r="H12" s="5">
        <v>0.13</v>
      </c>
      <c r="K12" s="10">
        <f t="shared" ref="K12:Q12" si="3">TRUNC(K5,2)</f>
        <v>90</v>
      </c>
      <c r="L12" s="10">
        <f t="shared" si="3"/>
        <v>138</v>
      </c>
      <c r="M12" s="10">
        <f t="shared" si="3"/>
        <v>186</v>
      </c>
      <c r="N12" s="10">
        <f t="shared" si="3"/>
        <v>234</v>
      </c>
      <c r="O12" s="10">
        <f t="shared" si="3"/>
        <v>282</v>
      </c>
      <c r="P12" s="10">
        <f t="shared" si="3"/>
        <v>330</v>
      </c>
      <c r="Q12" s="10">
        <f t="shared" si="3"/>
        <v>354</v>
      </c>
    </row>
    <row r="13" spans="1:17" x14ac:dyDescent="0.2">
      <c r="A13" s="3" t="s">
        <v>97</v>
      </c>
      <c r="B13" s="4">
        <v>75</v>
      </c>
      <c r="C13" s="4">
        <v>150</v>
      </c>
      <c r="D13" s="4">
        <v>225</v>
      </c>
      <c r="E13" s="4">
        <v>300</v>
      </c>
      <c r="F13" s="4">
        <v>375</v>
      </c>
      <c r="G13" s="4">
        <v>450</v>
      </c>
      <c r="H13" s="4">
        <v>487.5</v>
      </c>
      <c r="K13" s="10">
        <f t="shared" ref="K13:Q13" si="4">TRUNC(K6,2)</f>
        <v>992.64</v>
      </c>
      <c r="L13" s="10">
        <f t="shared" si="4"/>
        <v>1388.57</v>
      </c>
      <c r="M13" s="10">
        <f t="shared" si="4"/>
        <v>1745.81</v>
      </c>
      <c r="N13" s="10">
        <f t="shared" si="4"/>
        <v>2187.4299999999998</v>
      </c>
      <c r="O13" s="10">
        <f t="shared" si="4"/>
        <v>2742.29</v>
      </c>
      <c r="P13" s="10">
        <f t="shared" si="4"/>
        <v>3396.85</v>
      </c>
      <c r="Q13" s="10">
        <f t="shared" si="4"/>
        <v>4118.7</v>
      </c>
    </row>
    <row r="14" spans="1:17" x14ac:dyDescent="0.2">
      <c r="A14" s="3" t="s">
        <v>491</v>
      </c>
      <c r="B14" s="5">
        <v>1.5000000000000003E-2</v>
      </c>
      <c r="C14" s="5">
        <v>3.0000000000000006E-2</v>
      </c>
      <c r="D14" s="5">
        <v>4.5000000000000005E-2</v>
      </c>
      <c r="E14" s="5">
        <v>6.0000000000000012E-2</v>
      </c>
      <c r="F14" s="5">
        <v>7.5000000000000011E-2</v>
      </c>
      <c r="G14" s="5">
        <v>9.0000000000000011E-2</v>
      </c>
      <c r="H14" s="5">
        <v>9.7500000000000017E-2</v>
      </c>
      <c r="K14" s="10">
        <f t="shared" ref="K14:Q14" si="5">TRUNC(K7,2)</f>
        <v>1474.3</v>
      </c>
      <c r="L14" s="10">
        <f t="shared" si="5"/>
        <v>1846.12</v>
      </c>
      <c r="M14" s="10">
        <f t="shared" si="5"/>
        <v>2315.58</v>
      </c>
      <c r="N14" s="10">
        <f t="shared" si="5"/>
        <v>2897.64</v>
      </c>
      <c r="O14" s="10">
        <f t="shared" si="5"/>
        <v>3572.48</v>
      </c>
      <c r="P14" s="10">
        <f t="shared" si="5"/>
        <v>4305.13</v>
      </c>
      <c r="Q14" s="10">
        <f t="shared" si="5"/>
        <v>4680.78</v>
      </c>
    </row>
    <row r="15" spans="1:17" x14ac:dyDescent="0.2">
      <c r="A15" s="3" t="s">
        <v>95</v>
      </c>
      <c r="B15" s="5">
        <v>1.2500000000000001E-2</v>
      </c>
      <c r="C15" s="5">
        <v>2.5000000000000001E-2</v>
      </c>
      <c r="D15" s="5">
        <v>3.7499999999999999E-2</v>
      </c>
      <c r="E15" s="5">
        <v>0.05</v>
      </c>
      <c r="F15" s="5">
        <v>6.25E-2</v>
      </c>
      <c r="G15" s="5">
        <v>7.4999999999999997E-2</v>
      </c>
      <c r="H15" s="5">
        <v>8.1250000000000003E-2</v>
      </c>
      <c r="K15" s="10"/>
      <c r="L15" s="10"/>
      <c r="M15" s="10"/>
      <c r="N15" s="10"/>
      <c r="O15" s="10"/>
      <c r="P15" s="10"/>
      <c r="Q15" s="10"/>
    </row>
    <row r="16" spans="1:17" x14ac:dyDescent="0.2">
      <c r="A16" s="3" t="s">
        <v>96</v>
      </c>
      <c r="B16" s="5">
        <v>0.05</v>
      </c>
      <c r="C16" s="5">
        <v>0.1</v>
      </c>
      <c r="D16" s="5">
        <v>0.15</v>
      </c>
      <c r="E16" s="5">
        <v>0.2</v>
      </c>
      <c r="F16" s="5">
        <v>0.25</v>
      </c>
      <c r="G16" s="5">
        <v>0.3</v>
      </c>
      <c r="H16" s="5">
        <v>0.32500000000000001</v>
      </c>
    </row>
    <row r="17" spans="1:17" x14ac:dyDescent="0.2">
      <c r="A17" s="3" t="s">
        <v>99</v>
      </c>
      <c r="B17" s="5">
        <v>0.01</v>
      </c>
      <c r="C17" s="5">
        <v>0.02</v>
      </c>
      <c r="D17" s="5">
        <v>0.03</v>
      </c>
      <c r="E17" s="5">
        <v>0.04</v>
      </c>
      <c r="F17" s="5">
        <v>0.05</v>
      </c>
      <c r="G17" s="5">
        <v>0.06</v>
      </c>
      <c r="H17" s="5">
        <v>6.5000000000000002E-2</v>
      </c>
      <c r="K17" s="5">
        <v>4.0000000000000001E-3</v>
      </c>
      <c r="L17" s="5">
        <v>8.0000000000000002E-3</v>
      </c>
      <c r="M17" s="5">
        <v>1.2E-2</v>
      </c>
      <c r="N17" s="5">
        <v>1.6E-2</v>
      </c>
      <c r="O17" s="5">
        <v>0.02</v>
      </c>
      <c r="P17" s="5">
        <v>2.4E-2</v>
      </c>
      <c r="Q17" s="5">
        <v>2.6000000000000002E-2</v>
      </c>
    </row>
    <row r="18" spans="1:17" x14ac:dyDescent="0.2">
      <c r="A18" s="3" t="s">
        <v>100</v>
      </c>
      <c r="B18" s="5">
        <v>0.01</v>
      </c>
      <c r="C18" s="5">
        <v>0.02</v>
      </c>
      <c r="D18" s="5">
        <v>0.03</v>
      </c>
      <c r="E18" s="5">
        <v>0.04</v>
      </c>
      <c r="F18" s="5">
        <v>0.05</v>
      </c>
      <c r="G18" s="5">
        <v>0.06</v>
      </c>
      <c r="H18" s="5">
        <v>6.5000000000000002E-2</v>
      </c>
      <c r="K18" s="5">
        <v>1.6E-2</v>
      </c>
      <c r="L18" s="5">
        <v>3.2000000000000001E-2</v>
      </c>
      <c r="M18" s="5">
        <v>4.8000000000000001E-2</v>
      </c>
      <c r="N18" s="5">
        <v>6.4000000000000001E-2</v>
      </c>
      <c r="O18" s="5">
        <v>0.08</v>
      </c>
      <c r="P18" s="5">
        <v>9.6000000000000002E-2</v>
      </c>
      <c r="Q18" s="5">
        <v>0.10400000000000001</v>
      </c>
    </row>
    <row r="19" spans="1:17" x14ac:dyDescent="0.2">
      <c r="A19" s="3" t="s">
        <v>483</v>
      </c>
      <c r="B19" s="4">
        <v>15</v>
      </c>
      <c r="C19" s="4">
        <v>30</v>
      </c>
      <c r="D19" s="4">
        <v>45</v>
      </c>
      <c r="E19" s="4">
        <v>60</v>
      </c>
      <c r="F19" s="4">
        <v>75</v>
      </c>
      <c r="G19" s="4">
        <v>90</v>
      </c>
      <c r="H19" s="4">
        <v>97.5</v>
      </c>
      <c r="K19" s="3">
        <f>K17*100</f>
        <v>0.4</v>
      </c>
      <c r="L19" s="3">
        <f t="shared" ref="L19:Q20" si="6">L17*100</f>
        <v>0.8</v>
      </c>
      <c r="M19" s="3">
        <f t="shared" si="6"/>
        <v>1.2</v>
      </c>
      <c r="N19" s="3">
        <f t="shared" si="6"/>
        <v>1.6</v>
      </c>
      <c r="O19" s="3">
        <f t="shared" si="6"/>
        <v>2</v>
      </c>
      <c r="P19" s="3">
        <f t="shared" si="6"/>
        <v>2.4</v>
      </c>
      <c r="Q19" s="3">
        <f t="shared" si="6"/>
        <v>2.6</v>
      </c>
    </row>
    <row r="20" spans="1:17" x14ac:dyDescent="0.2">
      <c r="A20" s="3" t="s">
        <v>489</v>
      </c>
      <c r="B20" s="5">
        <v>0.12499999999999999</v>
      </c>
      <c r="C20" s="5">
        <v>0.24999999999999997</v>
      </c>
      <c r="D20" s="5">
        <v>0.375</v>
      </c>
      <c r="E20" s="5">
        <v>0.49999999999999994</v>
      </c>
      <c r="F20" s="5">
        <v>0.62499999999999989</v>
      </c>
      <c r="G20" s="9">
        <v>0.9</v>
      </c>
      <c r="H20" s="5">
        <v>0.81249999999999989</v>
      </c>
      <c r="K20" s="3">
        <f>K18*100</f>
        <v>1.6</v>
      </c>
      <c r="L20" s="3">
        <f t="shared" si="6"/>
        <v>3.2</v>
      </c>
      <c r="M20" s="3">
        <f t="shared" si="6"/>
        <v>4.8</v>
      </c>
      <c r="N20" s="3">
        <f t="shared" si="6"/>
        <v>6.4</v>
      </c>
      <c r="O20" s="3">
        <f t="shared" si="6"/>
        <v>8</v>
      </c>
      <c r="P20" s="3">
        <f t="shared" si="6"/>
        <v>9.6</v>
      </c>
      <c r="Q20" s="3">
        <f t="shared" si="6"/>
        <v>10.4</v>
      </c>
    </row>
    <row r="21" spans="1:17" x14ac:dyDescent="0.2">
      <c r="A21" s="3" t="s">
        <v>484</v>
      </c>
      <c r="B21" s="4">
        <v>0.75</v>
      </c>
      <c r="C21" s="4">
        <v>1.5</v>
      </c>
      <c r="D21" s="4">
        <v>2.25</v>
      </c>
      <c r="E21" s="4">
        <v>3</v>
      </c>
      <c r="F21" s="4">
        <v>3.75</v>
      </c>
      <c r="G21" s="4">
        <v>4.5</v>
      </c>
      <c r="H21" s="4">
        <v>4.875</v>
      </c>
    </row>
    <row r="22" spans="1:17" x14ac:dyDescent="0.2">
      <c r="A22" s="3" t="s">
        <v>485</v>
      </c>
      <c r="B22" s="5">
        <v>0.15</v>
      </c>
      <c r="C22" s="5">
        <v>0.3</v>
      </c>
      <c r="D22" s="5">
        <v>0.44999999999999996</v>
      </c>
      <c r="E22" s="5">
        <v>0.6</v>
      </c>
      <c r="F22" s="5">
        <v>0.75</v>
      </c>
      <c r="G22" s="5">
        <v>0.89999999999999991</v>
      </c>
      <c r="H22" s="5">
        <v>0.97500000000000009</v>
      </c>
    </row>
    <row r="23" spans="1:17" x14ac:dyDescent="0.2">
      <c r="A23" s="3" t="s">
        <v>486</v>
      </c>
      <c r="B23" s="4">
        <v>15</v>
      </c>
      <c r="C23" s="4">
        <v>30</v>
      </c>
      <c r="D23" s="4">
        <v>45</v>
      </c>
      <c r="E23" s="4">
        <v>60</v>
      </c>
      <c r="F23" s="4">
        <v>75</v>
      </c>
      <c r="G23" s="4">
        <v>90</v>
      </c>
      <c r="H23" s="4">
        <v>97.5</v>
      </c>
    </row>
    <row r="24" spans="1:17" x14ac:dyDescent="0.2">
      <c r="A24" s="3" t="s">
        <v>490</v>
      </c>
      <c r="B24" s="5">
        <v>0.12499999999999999</v>
      </c>
      <c r="C24" s="5">
        <v>0.24999999999999997</v>
      </c>
      <c r="D24" s="5">
        <v>0.375</v>
      </c>
      <c r="E24" s="5">
        <v>0.49999999999999994</v>
      </c>
      <c r="F24" s="5">
        <v>0.62499999999999989</v>
      </c>
      <c r="G24" s="5">
        <v>0.75</v>
      </c>
      <c r="H24" s="5">
        <v>0.81249999999999989</v>
      </c>
    </row>
    <row r="25" spans="1:17" x14ac:dyDescent="0.2">
      <c r="A25" s="3" t="s">
        <v>487</v>
      </c>
      <c r="B25" s="4">
        <v>0.75</v>
      </c>
      <c r="C25" s="4">
        <v>1.5</v>
      </c>
      <c r="D25" s="4">
        <v>2.25</v>
      </c>
      <c r="E25" s="4">
        <v>3</v>
      </c>
      <c r="F25" s="4">
        <v>3.75</v>
      </c>
      <c r="G25" s="4">
        <v>4.5</v>
      </c>
      <c r="H25" s="4">
        <v>4.875</v>
      </c>
    </row>
    <row r="26" spans="1:17" x14ac:dyDescent="0.2">
      <c r="A26" s="3" t="s">
        <v>488</v>
      </c>
      <c r="B26" s="5">
        <v>0.15</v>
      </c>
      <c r="C26" s="5">
        <v>0.3</v>
      </c>
      <c r="D26" s="5">
        <v>0.44999999999999996</v>
      </c>
      <c r="E26" s="5">
        <v>0.6</v>
      </c>
      <c r="F26" s="5">
        <v>0.75</v>
      </c>
      <c r="G26" s="5">
        <v>0.89999999999999991</v>
      </c>
      <c r="H26" s="5">
        <v>0.97500000000000009</v>
      </c>
    </row>
    <row r="28" spans="1:17" x14ac:dyDescent="0.2">
      <c r="A28" s="3" t="s">
        <v>4</v>
      </c>
      <c r="B28" s="14" t="s">
        <v>103</v>
      </c>
      <c r="C28" s="14"/>
      <c r="D28" s="14"/>
      <c r="E28" s="14"/>
      <c r="F28" s="14"/>
      <c r="G28" s="14"/>
      <c r="H28" s="14"/>
    </row>
    <row r="29" spans="1:17" x14ac:dyDescent="0.2">
      <c r="A29" s="3" t="s">
        <v>102</v>
      </c>
      <c r="B29" s="4">
        <v>1</v>
      </c>
      <c r="C29" s="4">
        <v>2</v>
      </c>
      <c r="D29" s="4">
        <v>3</v>
      </c>
      <c r="E29" s="4">
        <v>4</v>
      </c>
      <c r="F29" s="4">
        <v>5</v>
      </c>
      <c r="G29" s="4">
        <v>6</v>
      </c>
      <c r="H29" s="4">
        <v>7</v>
      </c>
    </row>
    <row r="30" spans="1:17" x14ac:dyDescent="0.2">
      <c r="A30" s="3" t="s">
        <v>473</v>
      </c>
      <c r="B30" s="4">
        <v>3</v>
      </c>
      <c r="C30" s="4">
        <v>6</v>
      </c>
      <c r="D30" s="4">
        <v>9</v>
      </c>
      <c r="E30" s="4">
        <v>12</v>
      </c>
      <c r="F30" s="4">
        <v>15</v>
      </c>
      <c r="G30" s="4">
        <v>18</v>
      </c>
      <c r="H30" s="4">
        <v>19.5</v>
      </c>
    </row>
    <row r="31" spans="1:17" x14ac:dyDescent="0.2">
      <c r="A31" s="3" t="s">
        <v>474</v>
      </c>
      <c r="B31" s="4">
        <v>3</v>
      </c>
      <c r="C31" s="4">
        <v>6</v>
      </c>
      <c r="D31" s="4">
        <v>9</v>
      </c>
      <c r="E31" s="4">
        <v>12</v>
      </c>
      <c r="F31" s="4">
        <v>15</v>
      </c>
      <c r="G31" s="4">
        <v>18</v>
      </c>
      <c r="H31" s="4">
        <v>19.5</v>
      </c>
    </row>
    <row r="32" spans="1:17" x14ac:dyDescent="0.2">
      <c r="A32" s="3" t="s">
        <v>477</v>
      </c>
      <c r="B32" s="5">
        <v>8.0000000000000002E-3</v>
      </c>
      <c r="C32" s="5">
        <v>1.6E-2</v>
      </c>
      <c r="D32" s="5">
        <v>2.4E-2</v>
      </c>
      <c r="E32" s="5">
        <v>3.2000000000000001E-2</v>
      </c>
      <c r="F32" s="5">
        <v>0.04</v>
      </c>
      <c r="G32" s="5">
        <v>4.8000000000000001E-2</v>
      </c>
      <c r="H32" s="5">
        <v>5.2000000000000005E-2</v>
      </c>
    </row>
    <row r="33" spans="1:8" x14ac:dyDescent="0.2">
      <c r="A33" s="3" t="s">
        <v>478</v>
      </c>
      <c r="B33" s="5">
        <v>8.0000000000000002E-3</v>
      </c>
      <c r="C33" s="5">
        <v>1.6E-2</v>
      </c>
      <c r="D33" s="5">
        <v>2.4E-2</v>
      </c>
      <c r="E33" s="5">
        <v>3.2000000000000001E-2</v>
      </c>
      <c r="F33" s="5">
        <v>0.04</v>
      </c>
      <c r="G33" s="5">
        <v>4.8000000000000001E-2</v>
      </c>
      <c r="H33" s="5">
        <v>5.2000000000000005E-2</v>
      </c>
    </row>
    <row r="34" spans="1:8" x14ac:dyDescent="0.2">
      <c r="A34" s="3" t="s">
        <v>91</v>
      </c>
      <c r="B34" s="4">
        <v>0.4</v>
      </c>
      <c r="C34" s="4">
        <v>0.8</v>
      </c>
      <c r="D34" s="4">
        <v>1.2</v>
      </c>
      <c r="E34" s="4">
        <v>1.6</v>
      </c>
      <c r="F34" s="4">
        <v>2</v>
      </c>
      <c r="G34" s="4">
        <v>2.4</v>
      </c>
      <c r="H34" s="4">
        <v>2.6</v>
      </c>
    </row>
    <row r="35" spans="1:8" x14ac:dyDescent="0.2">
      <c r="A35" s="3" t="s">
        <v>98</v>
      </c>
      <c r="B35" s="4">
        <v>1.6</v>
      </c>
      <c r="C35" s="4">
        <v>3.2</v>
      </c>
      <c r="D35" s="4">
        <v>4.8</v>
      </c>
      <c r="E35" s="4">
        <v>6.4</v>
      </c>
      <c r="F35" s="4">
        <v>8</v>
      </c>
      <c r="G35" s="4">
        <v>9.6</v>
      </c>
      <c r="H35" s="4">
        <v>10.4</v>
      </c>
    </row>
    <row r="36" spans="1:8" x14ac:dyDescent="0.2">
      <c r="A36" s="3" t="s">
        <v>89</v>
      </c>
      <c r="B36" s="4">
        <v>2</v>
      </c>
      <c r="C36" s="4">
        <v>4</v>
      </c>
      <c r="D36" s="4">
        <v>6</v>
      </c>
      <c r="E36" s="4">
        <v>8</v>
      </c>
      <c r="F36" s="4">
        <v>10</v>
      </c>
      <c r="G36" s="4">
        <v>12</v>
      </c>
      <c r="H36" s="4">
        <v>13</v>
      </c>
    </row>
    <row r="37" spans="1:8" x14ac:dyDescent="0.2">
      <c r="A37" s="3" t="s">
        <v>104</v>
      </c>
      <c r="B37" s="4">
        <v>2</v>
      </c>
      <c r="C37" s="4">
        <v>4</v>
      </c>
      <c r="D37" s="4">
        <v>6</v>
      </c>
      <c r="E37" s="4">
        <v>8</v>
      </c>
      <c r="F37" s="4">
        <v>10</v>
      </c>
      <c r="G37" s="4">
        <v>12</v>
      </c>
      <c r="H37" s="4">
        <v>13</v>
      </c>
    </row>
    <row r="38" spans="1:8" x14ac:dyDescent="0.2">
      <c r="A38" s="3" t="s">
        <v>479</v>
      </c>
      <c r="B38" s="5">
        <v>8.0000000000000002E-3</v>
      </c>
      <c r="C38" s="5">
        <v>1.6E-2</v>
      </c>
      <c r="D38" s="5">
        <v>2.4E-2</v>
      </c>
      <c r="E38" s="5">
        <v>3.2000000000000001E-2</v>
      </c>
      <c r="F38" s="5">
        <v>0.04</v>
      </c>
      <c r="G38" s="5">
        <v>4.8000000000000001E-2</v>
      </c>
      <c r="H38" s="5">
        <v>5.2000000000000005E-2</v>
      </c>
    </row>
    <row r="39" spans="1:8" x14ac:dyDescent="0.2">
      <c r="A39" s="3" t="s">
        <v>480</v>
      </c>
      <c r="B39" s="5">
        <v>8.0000000000000002E-3</v>
      </c>
      <c r="C39" s="5">
        <v>1.6E-2</v>
      </c>
      <c r="D39" s="5">
        <v>2.4E-2</v>
      </c>
      <c r="E39" s="5">
        <v>3.2000000000000001E-2</v>
      </c>
      <c r="F39" s="5">
        <v>0.04</v>
      </c>
      <c r="G39" s="5">
        <v>4.8000000000000001E-2</v>
      </c>
      <c r="H39" s="5">
        <v>5.2000000000000005E-2</v>
      </c>
    </row>
    <row r="40" spans="1:8" x14ac:dyDescent="0.2">
      <c r="A40" s="3" t="s">
        <v>97</v>
      </c>
      <c r="B40" s="4">
        <v>30</v>
      </c>
      <c r="C40" s="4">
        <v>60</v>
      </c>
      <c r="D40" s="4">
        <v>90</v>
      </c>
      <c r="E40" s="4">
        <v>120</v>
      </c>
      <c r="F40" s="4">
        <v>150</v>
      </c>
      <c r="G40" s="4">
        <v>180</v>
      </c>
      <c r="H40" s="4">
        <v>195</v>
      </c>
    </row>
    <row r="41" spans="1:8" x14ac:dyDescent="0.2">
      <c r="A41" s="3" t="s">
        <v>491</v>
      </c>
      <c r="B41" s="5">
        <v>6.000000000000001E-3</v>
      </c>
      <c r="C41" s="5">
        <v>1.2000000000000002E-2</v>
      </c>
      <c r="D41" s="5">
        <v>1.8000000000000002E-2</v>
      </c>
      <c r="E41" s="5">
        <v>2.4000000000000004E-2</v>
      </c>
      <c r="F41" s="5">
        <v>3.0000000000000006E-2</v>
      </c>
      <c r="G41" s="5">
        <v>3.6000000000000004E-2</v>
      </c>
      <c r="H41" s="5">
        <v>3.9000000000000007E-2</v>
      </c>
    </row>
    <row r="42" spans="1:8" x14ac:dyDescent="0.2">
      <c r="A42" s="3" t="s">
        <v>95</v>
      </c>
      <c r="B42" s="5">
        <v>5.0000000000000001E-3</v>
      </c>
      <c r="C42" s="5">
        <v>0.01</v>
      </c>
      <c r="D42" s="5">
        <v>1.4999999999999999E-2</v>
      </c>
      <c r="E42" s="5">
        <v>0.02</v>
      </c>
      <c r="F42" s="5">
        <v>2.5000000000000001E-2</v>
      </c>
      <c r="G42" s="5">
        <v>0.03</v>
      </c>
      <c r="H42" s="5">
        <v>3.2500000000000001E-2</v>
      </c>
    </row>
    <row r="43" spans="1:8" x14ac:dyDescent="0.2">
      <c r="A43" s="3" t="s">
        <v>96</v>
      </c>
      <c r="B43" s="5">
        <v>0.02</v>
      </c>
      <c r="C43" s="5">
        <v>0.04</v>
      </c>
      <c r="D43" s="5">
        <v>0.06</v>
      </c>
      <c r="E43" s="5">
        <v>0.08</v>
      </c>
      <c r="F43" s="5">
        <v>0.1</v>
      </c>
      <c r="G43" s="5">
        <v>0.12</v>
      </c>
      <c r="H43" s="5">
        <v>0.13</v>
      </c>
    </row>
    <row r="44" spans="1:8" x14ac:dyDescent="0.2">
      <c r="A44" s="3" t="s">
        <v>99</v>
      </c>
      <c r="B44" s="5">
        <v>4.0000000000000001E-3</v>
      </c>
      <c r="C44" s="5">
        <v>8.0000000000000002E-3</v>
      </c>
      <c r="D44" s="5">
        <v>1.2E-2</v>
      </c>
      <c r="E44" s="5">
        <v>1.6E-2</v>
      </c>
      <c r="F44" s="5">
        <v>0.02</v>
      </c>
      <c r="G44" s="5">
        <v>2.4E-2</v>
      </c>
      <c r="H44" s="5">
        <v>2.6000000000000002E-2</v>
      </c>
    </row>
    <row r="45" spans="1:8" x14ac:dyDescent="0.2">
      <c r="A45" s="3" t="s">
        <v>100</v>
      </c>
      <c r="B45" s="5">
        <v>4.0000000000000001E-3</v>
      </c>
      <c r="C45" s="5">
        <v>8.0000000000000002E-3</v>
      </c>
      <c r="D45" s="5">
        <v>1.2E-2</v>
      </c>
      <c r="E45" s="5">
        <v>1.6E-2</v>
      </c>
      <c r="F45" s="5">
        <v>0.02</v>
      </c>
      <c r="G45" s="5">
        <v>2.4E-2</v>
      </c>
      <c r="H45" s="5">
        <v>2.6000000000000002E-2</v>
      </c>
    </row>
    <row r="46" spans="1:8" x14ac:dyDescent="0.2">
      <c r="A46" s="3" t="s">
        <v>483</v>
      </c>
      <c r="B46" s="4">
        <v>6</v>
      </c>
      <c r="C46" s="4">
        <v>12</v>
      </c>
      <c r="D46" s="4">
        <v>18</v>
      </c>
      <c r="E46" s="4">
        <v>24</v>
      </c>
      <c r="F46" s="4">
        <v>30</v>
      </c>
      <c r="G46" s="4">
        <v>36</v>
      </c>
      <c r="H46" s="4">
        <v>39</v>
      </c>
    </row>
    <row r="47" spans="1:8" x14ac:dyDescent="0.2">
      <c r="A47" s="3" t="s">
        <v>489</v>
      </c>
      <c r="B47" s="5">
        <v>4.9999999999999996E-2</v>
      </c>
      <c r="C47" s="5">
        <v>9.9999999999999992E-2</v>
      </c>
      <c r="D47" s="5">
        <v>0.15</v>
      </c>
      <c r="E47" s="5">
        <v>0.19999999999999998</v>
      </c>
      <c r="F47" s="5">
        <v>0.24999999999999997</v>
      </c>
      <c r="G47" s="5">
        <v>0.3</v>
      </c>
      <c r="H47" s="5">
        <v>0.32499999999999996</v>
      </c>
    </row>
    <row r="48" spans="1:8" x14ac:dyDescent="0.2">
      <c r="A48" s="3" t="s">
        <v>484</v>
      </c>
      <c r="B48" s="4">
        <v>0.3</v>
      </c>
      <c r="C48" s="4">
        <v>0.6</v>
      </c>
      <c r="D48" s="4">
        <v>0.89999999999999991</v>
      </c>
      <c r="E48" s="4">
        <v>1.2</v>
      </c>
      <c r="F48" s="4">
        <v>1.5</v>
      </c>
      <c r="G48" s="4">
        <v>1.8</v>
      </c>
      <c r="H48" s="4">
        <v>1.95</v>
      </c>
    </row>
    <row r="49" spans="1:8" x14ac:dyDescent="0.2">
      <c r="A49" s="3" t="s">
        <v>485</v>
      </c>
      <c r="B49" s="5">
        <v>0.06</v>
      </c>
      <c r="C49" s="5">
        <v>0.12</v>
      </c>
      <c r="D49" s="5">
        <v>0.18</v>
      </c>
      <c r="E49" s="5">
        <v>0.24</v>
      </c>
      <c r="F49" s="5">
        <v>0.3</v>
      </c>
      <c r="G49" s="5">
        <v>0.36</v>
      </c>
      <c r="H49" s="5">
        <v>0.39</v>
      </c>
    </row>
    <row r="50" spans="1:8" x14ac:dyDescent="0.2">
      <c r="A50" s="3" t="s">
        <v>486</v>
      </c>
      <c r="B50" s="4">
        <v>6</v>
      </c>
      <c r="C50" s="4">
        <v>12</v>
      </c>
      <c r="D50" s="4">
        <v>18</v>
      </c>
      <c r="E50" s="4">
        <v>24</v>
      </c>
      <c r="F50" s="4">
        <v>30</v>
      </c>
      <c r="G50" s="4">
        <v>36</v>
      </c>
      <c r="H50" s="4">
        <v>39</v>
      </c>
    </row>
    <row r="51" spans="1:8" x14ac:dyDescent="0.2">
      <c r="A51" s="3" t="s">
        <v>490</v>
      </c>
      <c r="B51" s="5">
        <v>4.9999999999999996E-2</v>
      </c>
      <c r="C51" s="5">
        <v>9.9999999999999992E-2</v>
      </c>
      <c r="D51" s="5">
        <v>0.15</v>
      </c>
      <c r="E51" s="5">
        <v>0.19999999999999998</v>
      </c>
      <c r="F51" s="5">
        <v>0.24999999999999997</v>
      </c>
      <c r="G51" s="5">
        <v>0.3</v>
      </c>
      <c r="H51" s="5">
        <v>0.32499999999999996</v>
      </c>
    </row>
    <row r="52" spans="1:8" x14ac:dyDescent="0.2">
      <c r="A52" s="3" t="s">
        <v>487</v>
      </c>
      <c r="B52" s="4">
        <v>0.3</v>
      </c>
      <c r="C52" s="4">
        <v>0.6</v>
      </c>
      <c r="D52" s="4">
        <v>0.89999999999999991</v>
      </c>
      <c r="E52" s="4">
        <v>1.2</v>
      </c>
      <c r="F52" s="4">
        <v>1.5</v>
      </c>
      <c r="G52" s="4">
        <v>1.8</v>
      </c>
      <c r="H52" s="4">
        <v>1.95</v>
      </c>
    </row>
    <row r="53" spans="1:8" x14ac:dyDescent="0.2">
      <c r="A53" s="3" t="s">
        <v>488</v>
      </c>
      <c r="B53" s="5">
        <v>0.06</v>
      </c>
      <c r="C53" s="5">
        <v>0.12</v>
      </c>
      <c r="D53" s="5">
        <v>0.18</v>
      </c>
      <c r="E53" s="5">
        <v>0.24</v>
      </c>
      <c r="F53" s="5">
        <v>0.3</v>
      </c>
      <c r="G53" s="5">
        <v>0.36</v>
      </c>
      <c r="H53" s="5">
        <v>0.39</v>
      </c>
    </row>
  </sheetData>
  <mergeCells count="2">
    <mergeCell ref="B1:H1"/>
    <mergeCell ref="B28:H28"/>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导出</vt:lpstr>
      <vt:lpstr>锻材编辑表</vt:lpstr>
      <vt:lpstr>ForgeConfig</vt:lpstr>
      <vt:lpstr>原始数据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Neko喵丁丁</dc:creator>
  <cp:lastModifiedBy>雪叆 琴</cp:lastModifiedBy>
  <dcterms:created xsi:type="dcterms:W3CDTF">2015-06-05T18:19:34Z</dcterms:created>
  <dcterms:modified xsi:type="dcterms:W3CDTF">2024-03-02T21:27:02Z</dcterms:modified>
</cp:coreProperties>
</file>